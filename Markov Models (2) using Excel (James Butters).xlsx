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mesbutters/Downloads/"/>
    </mc:Choice>
  </mc:AlternateContent>
  <xr:revisionPtr revIDLastSave="0" documentId="13_ncr:1_{82DDB9F8-5C19-5F48-A023-F393EC560AF0}" xr6:coauthVersionLast="47" xr6:coauthVersionMax="47" xr10:uidLastSave="{00000000-0000-0000-0000-000000000000}"/>
  <bookViews>
    <workbookView xWindow="-60" yWindow="600" windowWidth="28060" windowHeight="16080" xr2:uid="{7CC2016A-CB94-C645-AE86-D047BB6E1CE7}"/>
  </bookViews>
  <sheets>
    <sheet name="Illness-Death Model " sheetId="1" r:id="rId1"/>
    <sheet name="Discounting" sheetId="9" r:id="rId2"/>
    <sheet name="Life table" sheetId="7" r:id="rId3"/>
    <sheet name="Time-varying probs+payoffs" sheetId="3" r:id="rId4"/>
    <sheet name="Tunnel States" sheetId="6" r:id="rId5"/>
    <sheet name="PSA Results" sheetId="14" r:id="rId6"/>
    <sheet name="PSA Formatted" sheetId="13" r:id="rId7"/>
    <sheet name="PSA Parameters" sheetId="11" r:id="rId8"/>
    <sheet name="Control" sheetId="10" r:id="rId9"/>
  </sheets>
  <definedNames>
    <definedName name="c_diseased">'PSA Parameters'!$B$10</definedName>
    <definedName name="c_healthy">'PSA Parameters'!$B$9</definedName>
    <definedName name="p_diseased_dead">'PSA Parameters'!$B$7</definedName>
    <definedName name="p_healthy_dead">'PSA Parameters'!$B$6</definedName>
    <definedName name="p_healthy_diseased">'PSA Parameters'!$B$5</definedName>
    <definedName name="PSA">Control!$B$4</definedName>
    <definedName name="u_diseased">'PSA Parameters'!$B$13</definedName>
    <definedName name="u_healty">'PSA Parameters'!$B$12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1" l="1"/>
  <c r="B10" i="11" s="1" a="1"/>
  <c r="B10" i="11" s="1"/>
  <c r="B12" i="13" s="1"/>
  <c r="M4" i="13" s="1"/>
  <c r="F13" i="11"/>
  <c r="B13" i="11" s="1" a="1"/>
  <c r="B13" i="11" s="1"/>
  <c r="C12" i="13" s="1"/>
  <c r="Q4" i="13" s="1"/>
  <c r="F12" i="11"/>
  <c r="B12" i="11" s="1" a="1"/>
  <c r="B12" i="11" s="1"/>
  <c r="C11" i="13" s="1"/>
  <c r="P4" i="13" s="1"/>
  <c r="F9" i="11"/>
  <c r="B9" i="11" s="1" a="1"/>
  <c r="B9" i="11" s="1"/>
  <c r="B11" i="13" s="1"/>
  <c r="L4" i="13" s="1"/>
  <c r="F5" i="11"/>
  <c r="B5" i="11" s="1" a="1"/>
  <c r="B5" i="11" s="1"/>
  <c r="C5" i="13" s="1"/>
  <c r="F7" i="11"/>
  <c r="B7" i="11" s="1" a="1"/>
  <c r="B7" i="11" s="1"/>
  <c r="D6" i="13" s="1"/>
  <c r="C6" i="13" s="1"/>
  <c r="F6" i="11"/>
  <c r="B6" i="11" s="1" a="1"/>
  <c r="B6" i="11" s="1"/>
  <c r="D5" i="13" s="1"/>
  <c r="F14" i="13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6" i="13"/>
  <c r="F7" i="13" s="1"/>
  <c r="F8" i="13" s="1"/>
  <c r="F9" i="13" s="1"/>
  <c r="F10" i="13" s="1"/>
  <c r="F11" i="13" s="1"/>
  <c r="F12" i="13" s="1"/>
  <c r="F13" i="13" s="1"/>
  <c r="F5" i="13"/>
  <c r="Q4" i="9"/>
  <c r="P4" i="9"/>
  <c r="U4" i="9"/>
  <c r="T4" i="9"/>
  <c r="H5" i="9" a="1"/>
  <c r="Q5" i="9" s="1"/>
  <c r="F5" i="9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M4" i="9"/>
  <c r="X4" i="9" s="1"/>
  <c r="L4" i="9"/>
  <c r="H5" i="7" a="1"/>
  <c r="Q5" i="7" s="1"/>
  <c r="F5" i="7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U4" i="7"/>
  <c r="T4" i="7"/>
  <c r="Q4" i="7"/>
  <c r="P4" i="7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" i="6"/>
  <c r="P43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" i="6"/>
  <c r="N4" i="6"/>
  <c r="M5" i="6"/>
  <c r="L4" i="6"/>
  <c r="Q4" i="6" s="1"/>
  <c r="K5" i="6"/>
  <c r="J5" i="6"/>
  <c r="I6" i="6"/>
  <c r="I7" i="6"/>
  <c r="I8" i="6"/>
  <c r="I9" i="6"/>
  <c r="I10" i="6"/>
  <c r="J11" i="6" s="1"/>
  <c r="I11" i="6"/>
  <c r="J12" i="6" s="1"/>
  <c r="I12" i="6"/>
  <c r="J13" i="6" s="1"/>
  <c r="I13" i="6"/>
  <c r="I14" i="6"/>
  <c r="I15" i="6"/>
  <c r="I16" i="6"/>
  <c r="I17" i="6"/>
  <c r="I18" i="6"/>
  <c r="J19" i="6" s="1"/>
  <c r="I19" i="6"/>
  <c r="J20" i="6" s="1"/>
  <c r="I20" i="6"/>
  <c r="J21" i="6" s="1"/>
  <c r="I21" i="6"/>
  <c r="I22" i="6"/>
  <c r="I23" i="6"/>
  <c r="I24" i="6"/>
  <c r="I25" i="6"/>
  <c r="I26" i="6"/>
  <c r="J27" i="6" s="1"/>
  <c r="I27" i="6"/>
  <c r="J28" i="6" s="1"/>
  <c r="I28" i="6"/>
  <c r="J29" i="6" s="1"/>
  <c r="I29" i="6"/>
  <c r="I30" i="6"/>
  <c r="I31" i="6"/>
  <c r="I32" i="6"/>
  <c r="I33" i="6"/>
  <c r="I34" i="6"/>
  <c r="J35" i="6" s="1"/>
  <c r="I35" i="6"/>
  <c r="J36" i="6" s="1"/>
  <c r="I36" i="6"/>
  <c r="J37" i="6" s="1"/>
  <c r="I37" i="6"/>
  <c r="I38" i="6"/>
  <c r="I39" i="6"/>
  <c r="I40" i="6"/>
  <c r="I41" i="6"/>
  <c r="I42" i="6"/>
  <c r="J43" i="6" s="1"/>
  <c r="I43" i="6"/>
  <c r="I5" i="6"/>
  <c r="F5" i="6"/>
  <c r="N4" i="3"/>
  <c r="Y4" i="3" s="1"/>
  <c r="M4" i="3"/>
  <c r="X4" i="3" s="1"/>
  <c r="L4" i="3"/>
  <c r="U4" i="3" s="1"/>
  <c r="K4" i="3"/>
  <c r="T4" i="3" s="1"/>
  <c r="J4" i="3"/>
  <c r="P5" i="3" s="1"/>
  <c r="H5" i="3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K43" i="3" s="1"/>
  <c r="Q4" i="1"/>
  <c r="P4" i="1"/>
  <c r="M4" i="1"/>
  <c r="L4" i="1"/>
  <c r="H5" i="1" a="1"/>
  <c r="H5" i="1" s="1"/>
  <c r="L5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H5" i="14" l="1"/>
  <c r="G5" i="14"/>
  <c r="F5" i="14"/>
  <c r="E5" i="14"/>
  <c r="C5" i="14"/>
  <c r="D5" i="14"/>
  <c r="B5" i="14"/>
  <c r="B5" i="13"/>
  <c r="H5" i="13" s="1" a="1"/>
  <c r="H5" i="13" s="1"/>
  <c r="R4" i="13"/>
  <c r="N4" i="13"/>
  <c r="N4" i="7"/>
  <c r="P45" i="6"/>
  <c r="R4" i="7"/>
  <c r="M4" i="7"/>
  <c r="Z4" i="3"/>
  <c r="AA4" i="9"/>
  <c r="AC4" i="9" s="1"/>
  <c r="AB4" i="9"/>
  <c r="W4" i="9"/>
  <c r="T45" i="6"/>
  <c r="N5" i="6"/>
  <c r="U4" i="6"/>
  <c r="M6" i="6"/>
  <c r="R4" i="6"/>
  <c r="K6" i="6"/>
  <c r="Y4" i="9"/>
  <c r="T42" i="9"/>
  <c r="T10" i="9"/>
  <c r="T14" i="9"/>
  <c r="T18" i="9"/>
  <c r="T30" i="9"/>
  <c r="T8" i="9"/>
  <c r="T12" i="9"/>
  <c r="T16" i="9"/>
  <c r="T20" i="9"/>
  <c r="T24" i="9"/>
  <c r="T28" i="9"/>
  <c r="T32" i="9"/>
  <c r="T36" i="9"/>
  <c r="T40" i="9"/>
  <c r="U8" i="9"/>
  <c r="U12" i="9"/>
  <c r="U16" i="9"/>
  <c r="U20" i="9"/>
  <c r="U24" i="9"/>
  <c r="U28" i="9"/>
  <c r="U32" i="9"/>
  <c r="U36" i="9"/>
  <c r="U40" i="9"/>
  <c r="T5" i="9"/>
  <c r="T9" i="9"/>
  <c r="T13" i="9"/>
  <c r="T17" i="9"/>
  <c r="T21" i="9"/>
  <c r="T25" i="9"/>
  <c r="T29" i="9"/>
  <c r="T33" i="9"/>
  <c r="T37" i="9"/>
  <c r="T41" i="9"/>
  <c r="T26" i="9"/>
  <c r="U5" i="9"/>
  <c r="AB5" i="9" s="1"/>
  <c r="U9" i="9"/>
  <c r="U13" i="9"/>
  <c r="U17" i="9"/>
  <c r="U21" i="9"/>
  <c r="U25" i="9"/>
  <c r="U29" i="9"/>
  <c r="U33" i="9"/>
  <c r="U37" i="9"/>
  <c r="U41" i="9"/>
  <c r="T22" i="9"/>
  <c r="U6" i="9"/>
  <c r="U10" i="9"/>
  <c r="U14" i="9"/>
  <c r="U18" i="9"/>
  <c r="U22" i="9"/>
  <c r="U26" i="9"/>
  <c r="U30" i="9"/>
  <c r="U34" i="9"/>
  <c r="U38" i="9"/>
  <c r="U42" i="9"/>
  <c r="T34" i="9"/>
  <c r="T7" i="9"/>
  <c r="T11" i="9"/>
  <c r="T15" i="9"/>
  <c r="T19" i="9"/>
  <c r="T23" i="9"/>
  <c r="T27" i="9"/>
  <c r="T31" i="9"/>
  <c r="T35" i="9"/>
  <c r="T39" i="9"/>
  <c r="T43" i="9"/>
  <c r="T6" i="9"/>
  <c r="T38" i="9"/>
  <c r="U7" i="9"/>
  <c r="U11" i="9"/>
  <c r="U15" i="9"/>
  <c r="U19" i="9"/>
  <c r="U23" i="9"/>
  <c r="U27" i="9"/>
  <c r="U31" i="9"/>
  <c r="U35" i="9"/>
  <c r="U39" i="9"/>
  <c r="U43" i="9"/>
  <c r="R4" i="9"/>
  <c r="H5" i="9"/>
  <c r="N4" i="9"/>
  <c r="M5" i="9"/>
  <c r="V4" i="7"/>
  <c r="U5" i="7"/>
  <c r="H5" i="7"/>
  <c r="V4" i="6"/>
  <c r="L5" i="6"/>
  <c r="J42" i="6"/>
  <c r="J34" i="6"/>
  <c r="J26" i="6"/>
  <c r="J18" i="6"/>
  <c r="J10" i="6"/>
  <c r="J41" i="6"/>
  <c r="J33" i="6"/>
  <c r="J25" i="6"/>
  <c r="J17" i="6"/>
  <c r="J9" i="6"/>
  <c r="J40" i="6"/>
  <c r="J32" i="6"/>
  <c r="J24" i="6"/>
  <c r="J16" i="6"/>
  <c r="J8" i="6"/>
  <c r="J39" i="6"/>
  <c r="J31" i="6"/>
  <c r="J23" i="6"/>
  <c r="J15" i="6"/>
  <c r="J7" i="6"/>
  <c r="J38" i="6"/>
  <c r="J30" i="6"/>
  <c r="J22" i="6"/>
  <c r="J14" i="6"/>
  <c r="J6" i="6"/>
  <c r="F6" i="6"/>
  <c r="V4" i="3"/>
  <c r="J41" i="3"/>
  <c r="K30" i="3"/>
  <c r="N7" i="3"/>
  <c r="P6" i="3"/>
  <c r="J38" i="3"/>
  <c r="R5" i="3"/>
  <c r="L27" i="3"/>
  <c r="M7" i="3"/>
  <c r="N23" i="3"/>
  <c r="M5" i="3"/>
  <c r="X5" i="3" s="1"/>
  <c r="J29" i="3"/>
  <c r="Q5" i="3"/>
  <c r="M17" i="3"/>
  <c r="J19" i="3"/>
  <c r="N39" i="3"/>
  <c r="K14" i="3"/>
  <c r="J11" i="3"/>
  <c r="L36" i="3"/>
  <c r="L11" i="3"/>
  <c r="L20" i="3"/>
  <c r="J20" i="3"/>
  <c r="J10" i="3"/>
  <c r="M33" i="3"/>
  <c r="L10" i="3"/>
  <c r="L42" i="3"/>
  <c r="L33" i="3"/>
  <c r="J27" i="3"/>
  <c r="M35" i="3"/>
  <c r="K32" i="3"/>
  <c r="L29" i="3"/>
  <c r="N25" i="3"/>
  <c r="L22" i="3"/>
  <c r="M19" i="3"/>
  <c r="K16" i="3"/>
  <c r="L13" i="3"/>
  <c r="N9" i="3"/>
  <c r="L6" i="3"/>
  <c r="L43" i="3"/>
  <c r="J37" i="3"/>
  <c r="J28" i="3"/>
  <c r="J40" i="3"/>
  <c r="M39" i="3"/>
  <c r="N29" i="3"/>
  <c r="M23" i="3"/>
  <c r="K20" i="3"/>
  <c r="L17" i="3"/>
  <c r="N13" i="3"/>
  <c r="K42" i="3"/>
  <c r="N35" i="3"/>
  <c r="M29" i="3"/>
  <c r="L23" i="3"/>
  <c r="M13" i="3"/>
  <c r="L7" i="3"/>
  <c r="J35" i="3"/>
  <c r="J17" i="3"/>
  <c r="L38" i="3"/>
  <c r="J34" i="3"/>
  <c r="J25" i="3"/>
  <c r="J15" i="3"/>
  <c r="J6" i="3"/>
  <c r="M41" i="3"/>
  <c r="K38" i="3"/>
  <c r="L35" i="3"/>
  <c r="N31" i="3"/>
  <c r="L28" i="3"/>
  <c r="M25" i="3"/>
  <c r="K22" i="3"/>
  <c r="L19" i="3"/>
  <c r="N15" i="3"/>
  <c r="L12" i="3"/>
  <c r="M9" i="3"/>
  <c r="K6" i="3"/>
  <c r="K36" i="3"/>
  <c r="L26" i="3"/>
  <c r="J36" i="3"/>
  <c r="J18" i="3"/>
  <c r="J9" i="3"/>
  <c r="L39" i="3"/>
  <c r="L32" i="3"/>
  <c r="K26" i="3"/>
  <c r="N19" i="3"/>
  <c r="L16" i="3"/>
  <c r="K10" i="3"/>
  <c r="J26" i="3"/>
  <c r="J7" i="3"/>
  <c r="N41" i="3"/>
  <c r="J33" i="3"/>
  <c r="J23" i="3"/>
  <c r="J14" i="3"/>
  <c r="J5" i="3"/>
  <c r="L41" i="3"/>
  <c r="N37" i="3"/>
  <c r="L34" i="3"/>
  <c r="M31" i="3"/>
  <c r="K28" i="3"/>
  <c r="L25" i="3"/>
  <c r="N21" i="3"/>
  <c r="L18" i="3"/>
  <c r="M15" i="3"/>
  <c r="K12" i="3"/>
  <c r="L9" i="3"/>
  <c r="N5" i="3"/>
  <c r="J31" i="3"/>
  <c r="J22" i="3"/>
  <c r="J13" i="3"/>
  <c r="J43" i="3"/>
  <c r="N43" i="3"/>
  <c r="L40" i="3"/>
  <c r="M37" i="3"/>
  <c r="K34" i="3"/>
  <c r="L31" i="3"/>
  <c r="N27" i="3"/>
  <c r="L24" i="3"/>
  <c r="M21" i="3"/>
  <c r="K18" i="3"/>
  <c r="L15" i="3"/>
  <c r="N11" i="3"/>
  <c r="L8" i="3"/>
  <c r="J30" i="3"/>
  <c r="J21" i="3"/>
  <c r="J12" i="3"/>
  <c r="J42" i="3"/>
  <c r="M43" i="3"/>
  <c r="K40" i="3"/>
  <c r="L37" i="3"/>
  <c r="N33" i="3"/>
  <c r="L30" i="3"/>
  <c r="M27" i="3"/>
  <c r="K24" i="3"/>
  <c r="L21" i="3"/>
  <c r="N17" i="3"/>
  <c r="L14" i="3"/>
  <c r="M11" i="3"/>
  <c r="K8" i="3"/>
  <c r="L5" i="3"/>
  <c r="J32" i="3"/>
  <c r="J24" i="3"/>
  <c r="J16" i="3"/>
  <c r="J8" i="3"/>
  <c r="J39" i="3"/>
  <c r="K41" i="3"/>
  <c r="K39" i="3"/>
  <c r="K37" i="3"/>
  <c r="K35" i="3"/>
  <c r="K33" i="3"/>
  <c r="K31" i="3"/>
  <c r="K29" i="3"/>
  <c r="K27" i="3"/>
  <c r="K25" i="3"/>
  <c r="K23" i="3"/>
  <c r="K21" i="3"/>
  <c r="K19" i="3"/>
  <c r="K17" i="3"/>
  <c r="K15" i="3"/>
  <c r="K13" i="3"/>
  <c r="K11" i="3"/>
  <c r="K9" i="3"/>
  <c r="K7" i="3"/>
  <c r="K5" i="3"/>
  <c r="T5" i="3" s="1"/>
  <c r="N42" i="3"/>
  <c r="N40" i="3"/>
  <c r="N38" i="3"/>
  <c r="N36" i="3"/>
  <c r="N34" i="3"/>
  <c r="N32" i="3"/>
  <c r="N30" i="3"/>
  <c r="N28" i="3"/>
  <c r="N26" i="3"/>
  <c r="N24" i="3"/>
  <c r="N22" i="3"/>
  <c r="N20" i="3"/>
  <c r="N18" i="3"/>
  <c r="N16" i="3"/>
  <c r="N14" i="3"/>
  <c r="N12" i="3"/>
  <c r="N10" i="3"/>
  <c r="N8" i="3"/>
  <c r="N6" i="3"/>
  <c r="M42" i="3"/>
  <c r="M40" i="3"/>
  <c r="M38" i="3"/>
  <c r="M36" i="3"/>
  <c r="M34" i="3"/>
  <c r="M32" i="3"/>
  <c r="M30" i="3"/>
  <c r="M28" i="3"/>
  <c r="M26" i="3"/>
  <c r="M24" i="3"/>
  <c r="M22" i="3"/>
  <c r="M20" i="3"/>
  <c r="M18" i="3"/>
  <c r="M16" i="3"/>
  <c r="M14" i="3"/>
  <c r="M12" i="3"/>
  <c r="M10" i="3"/>
  <c r="M8" i="3"/>
  <c r="M6" i="3"/>
  <c r="N4" i="1"/>
  <c r="R4" i="1"/>
  <c r="P5" i="1"/>
  <c r="Q5" i="1"/>
  <c r="M5" i="1"/>
  <c r="N5" i="1" s="1"/>
  <c r="H6" i="1" a="1"/>
  <c r="Q5" i="13" l="1"/>
  <c r="M5" i="13"/>
  <c r="L5" i="13"/>
  <c r="H6" i="13" a="1"/>
  <c r="P5" i="13"/>
  <c r="L4" i="7"/>
  <c r="M7" i="6"/>
  <c r="L6" i="6"/>
  <c r="N6" i="6"/>
  <c r="Q5" i="6"/>
  <c r="U5" i="6"/>
  <c r="V5" i="6" s="1"/>
  <c r="X5" i="9"/>
  <c r="H6" i="9" a="1"/>
  <c r="P5" i="9"/>
  <c r="AA5" i="9" s="1"/>
  <c r="L5" i="9"/>
  <c r="W5" i="9" s="1"/>
  <c r="H6" i="7" a="1"/>
  <c r="P5" i="7"/>
  <c r="T5" i="7"/>
  <c r="K7" i="6"/>
  <c r="N7" i="6" s="1"/>
  <c r="F7" i="6"/>
  <c r="Y5" i="3"/>
  <c r="Z5" i="3" s="1"/>
  <c r="X6" i="3"/>
  <c r="U5" i="3"/>
  <c r="V5" i="3"/>
  <c r="R6" i="3"/>
  <c r="P7" i="3"/>
  <c r="X7" i="3" s="1"/>
  <c r="T6" i="3"/>
  <c r="Q6" i="3"/>
  <c r="H6" i="1"/>
  <c r="Q6" i="1"/>
  <c r="M6" i="1"/>
  <c r="R5" i="1"/>
  <c r="H6" i="13" l="1"/>
  <c r="Q6" i="13"/>
  <c r="M6" i="13"/>
  <c r="R5" i="13"/>
  <c r="N5" i="13"/>
  <c r="N5" i="7"/>
  <c r="M5" i="7"/>
  <c r="M8" i="6"/>
  <c r="U6" i="6"/>
  <c r="V6" i="6" s="1"/>
  <c r="Q6" i="6"/>
  <c r="R6" i="6" s="1"/>
  <c r="R5" i="6"/>
  <c r="Y5" i="9"/>
  <c r="AC5" i="9"/>
  <c r="N5" i="9"/>
  <c r="R5" i="9"/>
  <c r="Q6" i="9"/>
  <c r="AB6" i="9" s="1"/>
  <c r="H6" i="9"/>
  <c r="M6" i="9"/>
  <c r="X6" i="9" s="1"/>
  <c r="V5" i="7"/>
  <c r="R5" i="7"/>
  <c r="U6" i="7"/>
  <c r="Q6" i="7"/>
  <c r="H6" i="7"/>
  <c r="K8" i="6"/>
  <c r="N8" i="6" s="1"/>
  <c r="L7" i="6"/>
  <c r="F8" i="6"/>
  <c r="U6" i="3"/>
  <c r="V6" i="3" s="1"/>
  <c r="Y6" i="3"/>
  <c r="Z6" i="3" s="1"/>
  <c r="Q7" i="3"/>
  <c r="Y7" i="3" s="1"/>
  <c r="Z7" i="3" s="1"/>
  <c r="P8" i="3"/>
  <c r="X8" i="3" s="1"/>
  <c r="T7" i="3"/>
  <c r="R7" i="3"/>
  <c r="R8" i="3" s="1"/>
  <c r="H7" i="1" a="1"/>
  <c r="L6" i="1"/>
  <c r="P6" i="1"/>
  <c r="L6" i="13" l="1"/>
  <c r="H7" i="13" a="1"/>
  <c r="P6" i="13"/>
  <c r="L5" i="7"/>
  <c r="Q7" i="6"/>
  <c r="U7" i="6"/>
  <c r="M9" i="6"/>
  <c r="M10" i="6" s="1"/>
  <c r="P6" i="9"/>
  <c r="AA6" i="9" s="1"/>
  <c r="L6" i="9"/>
  <c r="W6" i="9" s="1"/>
  <c r="H7" i="9" a="1"/>
  <c r="P6" i="7"/>
  <c r="T6" i="7"/>
  <c r="H7" i="7" a="1"/>
  <c r="K9" i="6"/>
  <c r="L8" i="6"/>
  <c r="F9" i="6"/>
  <c r="P9" i="3"/>
  <c r="X9" i="3" s="1"/>
  <c r="T8" i="3"/>
  <c r="Q8" i="3"/>
  <c r="U7" i="3"/>
  <c r="V7" i="3" s="1"/>
  <c r="R6" i="1"/>
  <c r="N6" i="1"/>
  <c r="H7" i="1"/>
  <c r="Q7" i="1"/>
  <c r="M7" i="1"/>
  <c r="H7" i="13" l="1"/>
  <c r="M7" i="13"/>
  <c r="Q7" i="13"/>
  <c r="N6" i="13"/>
  <c r="R6" i="13"/>
  <c r="M6" i="7"/>
  <c r="N6" i="7"/>
  <c r="N9" i="6"/>
  <c r="U8" i="6"/>
  <c r="V8" i="6" s="1"/>
  <c r="Q8" i="6"/>
  <c r="R8" i="6" s="1"/>
  <c r="V7" i="6"/>
  <c r="R7" i="6"/>
  <c r="Y6" i="9"/>
  <c r="AC6" i="9"/>
  <c r="N6" i="9"/>
  <c r="R6" i="9"/>
  <c r="Q7" i="9"/>
  <c r="AB7" i="9" s="1"/>
  <c r="M7" i="9"/>
  <c r="X7" i="9" s="1"/>
  <c r="H7" i="9"/>
  <c r="H7" i="7"/>
  <c r="U7" i="7"/>
  <c r="Q7" i="7"/>
  <c r="V6" i="7"/>
  <c r="R6" i="7"/>
  <c r="K10" i="6"/>
  <c r="N10" i="6" s="1"/>
  <c r="L9" i="6"/>
  <c r="F10" i="6"/>
  <c r="U8" i="3"/>
  <c r="Y8" i="3"/>
  <c r="Z8" i="3" s="1"/>
  <c r="Q9" i="3"/>
  <c r="Y9" i="3" s="1"/>
  <c r="Z9" i="3" s="1"/>
  <c r="V8" i="3"/>
  <c r="T9" i="3"/>
  <c r="P10" i="3"/>
  <c r="X10" i="3" s="1"/>
  <c r="R9" i="3"/>
  <c r="H8" i="1" a="1"/>
  <c r="P7" i="1"/>
  <c r="R7" i="1" s="1"/>
  <c r="L7" i="1"/>
  <c r="H8" i="13" l="1" a="1"/>
  <c r="P7" i="13"/>
  <c r="L7" i="13"/>
  <c r="L6" i="7"/>
  <c r="Q9" i="6"/>
  <c r="U9" i="6"/>
  <c r="M11" i="6"/>
  <c r="M12" i="6" s="1"/>
  <c r="P7" i="9"/>
  <c r="AA7" i="9" s="1"/>
  <c r="L7" i="9"/>
  <c r="W7" i="9" s="1"/>
  <c r="H8" i="9" a="1"/>
  <c r="H8" i="7" a="1"/>
  <c r="T7" i="7"/>
  <c r="P7" i="7"/>
  <c r="K11" i="6"/>
  <c r="L10" i="6"/>
  <c r="F11" i="6"/>
  <c r="R10" i="3"/>
  <c r="T10" i="3"/>
  <c r="P11" i="3"/>
  <c r="X11" i="3" s="1"/>
  <c r="Q10" i="3"/>
  <c r="U9" i="3"/>
  <c r="V9" i="3" s="1"/>
  <c r="N7" i="1"/>
  <c r="H8" i="1"/>
  <c r="M8" i="1"/>
  <c r="Q8" i="1"/>
  <c r="N7" i="13" l="1"/>
  <c r="R7" i="13"/>
  <c r="Q8" i="13"/>
  <c r="M8" i="13"/>
  <c r="H8" i="13"/>
  <c r="M7" i="7"/>
  <c r="N7" i="7"/>
  <c r="V9" i="6"/>
  <c r="Q10" i="6"/>
  <c r="R10" i="6" s="1"/>
  <c r="U10" i="6"/>
  <c r="V10" i="6" s="1"/>
  <c r="N11" i="6"/>
  <c r="R9" i="6"/>
  <c r="Y7" i="9"/>
  <c r="AC7" i="9"/>
  <c r="M8" i="9"/>
  <c r="X8" i="9" s="1"/>
  <c r="Q8" i="9"/>
  <c r="AB8" i="9" s="1"/>
  <c r="H8" i="9"/>
  <c r="N7" i="9"/>
  <c r="R7" i="9"/>
  <c r="U8" i="7"/>
  <c r="Q8" i="7"/>
  <c r="H8" i="7"/>
  <c r="R7" i="7"/>
  <c r="V7" i="7"/>
  <c r="K12" i="6"/>
  <c r="N12" i="6" s="1"/>
  <c r="L11" i="6"/>
  <c r="F12" i="6"/>
  <c r="U10" i="3"/>
  <c r="Y10" i="3"/>
  <c r="Z10" i="3" s="1"/>
  <c r="T11" i="3"/>
  <c r="P12" i="3"/>
  <c r="X12" i="3" s="1"/>
  <c r="Q11" i="3"/>
  <c r="V10" i="3"/>
  <c r="R11" i="3"/>
  <c r="R12" i="3" s="1"/>
  <c r="H9" i="1" a="1"/>
  <c r="P8" i="1"/>
  <c r="R8" i="1" s="1"/>
  <c r="L8" i="1"/>
  <c r="L8" i="13" l="1"/>
  <c r="H9" i="13" a="1"/>
  <c r="P8" i="13"/>
  <c r="L7" i="7"/>
  <c r="Q11" i="6"/>
  <c r="R11" i="6" s="1"/>
  <c r="U11" i="6"/>
  <c r="V11" i="6" s="1"/>
  <c r="M13" i="6"/>
  <c r="M14" i="6" s="1"/>
  <c r="P8" i="9"/>
  <c r="AA8" i="9" s="1"/>
  <c r="L8" i="9"/>
  <c r="H9" i="9" a="1"/>
  <c r="T8" i="7"/>
  <c r="V8" i="7" s="1"/>
  <c r="H9" i="7" a="1"/>
  <c r="P8" i="7"/>
  <c r="K13" i="6"/>
  <c r="L12" i="6"/>
  <c r="F13" i="6"/>
  <c r="U11" i="3"/>
  <c r="V11" i="3" s="1"/>
  <c r="Y11" i="3"/>
  <c r="Z11" i="3" s="1"/>
  <c r="Q12" i="3"/>
  <c r="T12" i="3"/>
  <c r="P13" i="3"/>
  <c r="X13" i="3" s="1"/>
  <c r="Q13" i="3"/>
  <c r="N8" i="1"/>
  <c r="H9" i="1"/>
  <c r="M9" i="1"/>
  <c r="Q9" i="1"/>
  <c r="R8" i="13" l="1"/>
  <c r="Q9" i="13"/>
  <c r="M9" i="13"/>
  <c r="H9" i="13"/>
  <c r="N8" i="13"/>
  <c r="M8" i="7"/>
  <c r="N8" i="7"/>
  <c r="Q12" i="6"/>
  <c r="R12" i="6" s="1"/>
  <c r="U12" i="6"/>
  <c r="V12" i="6" s="1"/>
  <c r="N13" i="6"/>
  <c r="N8" i="9"/>
  <c r="W8" i="9"/>
  <c r="AC8" i="9"/>
  <c r="R8" i="9"/>
  <c r="M9" i="9"/>
  <c r="X9" i="9" s="1"/>
  <c r="H9" i="9"/>
  <c r="Q9" i="9"/>
  <c r="AB9" i="9" s="1"/>
  <c r="R8" i="7"/>
  <c r="U9" i="7"/>
  <c r="Q9" i="7"/>
  <c r="H9" i="7"/>
  <c r="K14" i="6"/>
  <c r="N14" i="6" s="1"/>
  <c r="L13" i="6"/>
  <c r="F14" i="6"/>
  <c r="U13" i="3"/>
  <c r="Y13" i="3"/>
  <c r="Z13" i="3" s="1"/>
  <c r="U12" i="3"/>
  <c r="V12" i="3" s="1"/>
  <c r="Y12" i="3"/>
  <c r="Z12" i="3" s="1"/>
  <c r="R13" i="3"/>
  <c r="R14" i="3" s="1"/>
  <c r="T13" i="3"/>
  <c r="P14" i="3"/>
  <c r="X14" i="3" s="1"/>
  <c r="Q14" i="3"/>
  <c r="H10" i="1" a="1"/>
  <c r="L9" i="1"/>
  <c r="P9" i="1"/>
  <c r="R9" i="1" s="1"/>
  <c r="P9" i="13" l="1"/>
  <c r="L9" i="13"/>
  <c r="N9" i="13" s="1"/>
  <c r="H10" i="13" a="1"/>
  <c r="V13" i="3"/>
  <c r="R15" i="3"/>
  <c r="L8" i="7"/>
  <c r="Q13" i="6"/>
  <c r="R13" i="6" s="1"/>
  <c r="U13" i="6"/>
  <c r="V13" i="6" s="1"/>
  <c r="M15" i="6"/>
  <c r="Y8" i="9"/>
  <c r="L9" i="9"/>
  <c r="H10" i="9" a="1"/>
  <c r="P9" i="9"/>
  <c r="AA9" i="9" s="1"/>
  <c r="AC9" i="9" s="1"/>
  <c r="T9" i="7"/>
  <c r="V9" i="7" s="1"/>
  <c r="P9" i="7"/>
  <c r="R9" i="7" s="1"/>
  <c r="H10" i="7" a="1"/>
  <c r="K15" i="6"/>
  <c r="L14" i="6"/>
  <c r="F15" i="6"/>
  <c r="U14" i="3"/>
  <c r="Y14" i="3"/>
  <c r="Z14" i="3" s="1"/>
  <c r="T14" i="3"/>
  <c r="V14" i="3" s="1"/>
  <c r="Q15" i="3"/>
  <c r="P15" i="3"/>
  <c r="X15" i="3" s="1"/>
  <c r="N9" i="1"/>
  <c r="H10" i="1"/>
  <c r="Q10" i="1"/>
  <c r="M10" i="1"/>
  <c r="Q10" i="13" l="1"/>
  <c r="H10" i="13"/>
  <c r="M10" i="13"/>
  <c r="R9" i="13"/>
  <c r="M9" i="7"/>
  <c r="N9" i="7"/>
  <c r="M16" i="6"/>
  <c r="U14" i="6"/>
  <c r="V14" i="6" s="1"/>
  <c r="Q14" i="6"/>
  <c r="R14" i="6" s="1"/>
  <c r="N15" i="6"/>
  <c r="N9" i="9"/>
  <c r="W9" i="9"/>
  <c r="Y9" i="9" s="1"/>
  <c r="R9" i="9"/>
  <c r="Q10" i="9"/>
  <c r="AB10" i="9" s="1"/>
  <c r="M10" i="9"/>
  <c r="X10" i="9" s="1"/>
  <c r="H10" i="9"/>
  <c r="U10" i="7"/>
  <c r="Q10" i="7"/>
  <c r="H10" i="7"/>
  <c r="K16" i="6"/>
  <c r="N16" i="6" s="1"/>
  <c r="L15" i="6"/>
  <c r="F16" i="6"/>
  <c r="U15" i="3"/>
  <c r="Y15" i="3"/>
  <c r="Z15" i="3" s="1"/>
  <c r="T15" i="3"/>
  <c r="V15" i="3" s="1"/>
  <c r="P16" i="3"/>
  <c r="X16" i="3" s="1"/>
  <c r="Q16" i="3"/>
  <c r="R16" i="3"/>
  <c r="H11" i="1" a="1"/>
  <c r="P10" i="1"/>
  <c r="R10" i="1" s="1"/>
  <c r="L10" i="1"/>
  <c r="N10" i="1" s="1"/>
  <c r="P10" i="13" l="1"/>
  <c r="R10" i="13" s="1"/>
  <c r="L10" i="13"/>
  <c r="N10" i="13" s="1"/>
  <c r="H11" i="13" a="1"/>
  <c r="L9" i="7"/>
  <c r="U15" i="6"/>
  <c r="V15" i="6" s="1"/>
  <c r="Q15" i="6"/>
  <c r="R15" i="6" s="1"/>
  <c r="M17" i="6"/>
  <c r="M18" i="6" s="1"/>
  <c r="L10" i="9"/>
  <c r="H11" i="9" a="1"/>
  <c r="P10" i="9"/>
  <c r="AA10" i="9" s="1"/>
  <c r="AC10" i="9" s="1"/>
  <c r="T10" i="7"/>
  <c r="V10" i="7" s="1"/>
  <c r="P10" i="7"/>
  <c r="R10" i="7" s="1"/>
  <c r="H11" i="7" a="1"/>
  <c r="K17" i="6"/>
  <c r="L16" i="6"/>
  <c r="F17" i="6"/>
  <c r="U16" i="3"/>
  <c r="Y16" i="3"/>
  <c r="Z16" i="3" s="1"/>
  <c r="R17" i="3"/>
  <c r="T16" i="3"/>
  <c r="P17" i="3"/>
  <c r="X17" i="3" s="1"/>
  <c r="Q17" i="3"/>
  <c r="H11" i="1"/>
  <c r="Q11" i="1"/>
  <c r="M11" i="1"/>
  <c r="M11" i="13" l="1"/>
  <c r="H11" i="13"/>
  <c r="Q11" i="13"/>
  <c r="V16" i="3"/>
  <c r="M10" i="7"/>
  <c r="N10" i="7"/>
  <c r="Q16" i="6"/>
  <c r="R16" i="6" s="1"/>
  <c r="U16" i="6"/>
  <c r="V16" i="6" s="1"/>
  <c r="N17" i="6"/>
  <c r="N10" i="9"/>
  <c r="W10" i="9"/>
  <c r="Y10" i="9" s="1"/>
  <c r="R10" i="9"/>
  <c r="H11" i="9"/>
  <c r="M11" i="9"/>
  <c r="X11" i="9" s="1"/>
  <c r="Q11" i="9"/>
  <c r="AB11" i="9" s="1"/>
  <c r="Q11" i="7"/>
  <c r="H11" i="7"/>
  <c r="U11" i="7"/>
  <c r="K18" i="6"/>
  <c r="N18" i="6" s="1"/>
  <c r="L17" i="6"/>
  <c r="F18" i="6"/>
  <c r="U17" i="3"/>
  <c r="Y17" i="3"/>
  <c r="Z17" i="3"/>
  <c r="T17" i="3"/>
  <c r="V17" i="3" s="1"/>
  <c r="Q18" i="3"/>
  <c r="P18" i="3"/>
  <c r="X18" i="3" s="1"/>
  <c r="R18" i="3"/>
  <c r="R19" i="3" s="1"/>
  <c r="H12" i="1" a="1"/>
  <c r="P11" i="1"/>
  <c r="R11" i="1" s="1"/>
  <c r="L11" i="1"/>
  <c r="N11" i="1" s="1"/>
  <c r="P11" i="13" l="1"/>
  <c r="R11" i="13" s="1"/>
  <c r="H12" i="13" a="1"/>
  <c r="L11" i="13"/>
  <c r="N11" i="13" s="1"/>
  <c r="L10" i="7"/>
  <c r="Q17" i="6"/>
  <c r="R17" i="6" s="1"/>
  <c r="U17" i="6"/>
  <c r="V17" i="6" s="1"/>
  <c r="M19" i="6"/>
  <c r="M20" i="6" s="1"/>
  <c r="P11" i="9"/>
  <c r="AA11" i="9" s="1"/>
  <c r="AC11" i="9" s="1"/>
  <c r="L11" i="9"/>
  <c r="H12" i="9" a="1"/>
  <c r="T11" i="7"/>
  <c r="V11" i="7" s="1"/>
  <c r="P11" i="7"/>
  <c r="R11" i="7" s="1"/>
  <c r="H12" i="7" a="1"/>
  <c r="K19" i="6"/>
  <c r="L18" i="6"/>
  <c r="F19" i="6"/>
  <c r="U18" i="3"/>
  <c r="Y18" i="3"/>
  <c r="Z18" i="3" s="1"/>
  <c r="T18" i="3"/>
  <c r="P19" i="3"/>
  <c r="X19" i="3" s="1"/>
  <c r="Q19" i="3"/>
  <c r="H12" i="1"/>
  <c r="M12" i="1"/>
  <c r="Q12" i="1"/>
  <c r="M12" i="13" l="1"/>
  <c r="Q12" i="13"/>
  <c r="H12" i="13"/>
  <c r="M11" i="7"/>
  <c r="N11" i="7"/>
  <c r="V18" i="3"/>
  <c r="Q18" i="6"/>
  <c r="R18" i="6" s="1"/>
  <c r="U18" i="6"/>
  <c r="V18" i="6" s="1"/>
  <c r="N19" i="6"/>
  <c r="N11" i="9"/>
  <c r="W11" i="9"/>
  <c r="Y11" i="9" s="1"/>
  <c r="R11" i="9"/>
  <c r="H12" i="9"/>
  <c r="Q12" i="9"/>
  <c r="AB12" i="9" s="1"/>
  <c r="M12" i="9"/>
  <c r="X12" i="9" s="1"/>
  <c r="Q12" i="7"/>
  <c r="H12" i="7"/>
  <c r="U12" i="7"/>
  <c r="K20" i="6"/>
  <c r="N20" i="6" s="1"/>
  <c r="L19" i="6"/>
  <c r="F20" i="6"/>
  <c r="U19" i="3"/>
  <c r="Y19" i="3"/>
  <c r="Z19" i="3"/>
  <c r="T19" i="3"/>
  <c r="V19" i="3" s="1"/>
  <c r="P20" i="3"/>
  <c r="X20" i="3" s="1"/>
  <c r="Q20" i="3"/>
  <c r="R20" i="3"/>
  <c r="R21" i="3" s="1"/>
  <c r="H13" i="1" a="1"/>
  <c r="L12" i="1"/>
  <c r="N12" i="1" s="1"/>
  <c r="P12" i="1"/>
  <c r="R12" i="1" s="1"/>
  <c r="L12" i="13" l="1"/>
  <c r="N12" i="13" s="1"/>
  <c r="P12" i="13"/>
  <c r="R12" i="13" s="1"/>
  <c r="H13" i="13" a="1"/>
  <c r="L11" i="7"/>
  <c r="Q19" i="6"/>
  <c r="R19" i="6" s="1"/>
  <c r="U19" i="6"/>
  <c r="V19" i="6" s="1"/>
  <c r="M21" i="6"/>
  <c r="H13" i="9" a="1"/>
  <c r="P12" i="9"/>
  <c r="AA12" i="9" s="1"/>
  <c r="AC12" i="9" s="1"/>
  <c r="L12" i="9"/>
  <c r="P12" i="7"/>
  <c r="R12" i="7" s="1"/>
  <c r="H13" i="7" a="1"/>
  <c r="T12" i="7"/>
  <c r="V12" i="7" s="1"/>
  <c r="K21" i="6"/>
  <c r="L20" i="6"/>
  <c r="F21" i="6"/>
  <c r="U20" i="3"/>
  <c r="Y20" i="3"/>
  <c r="Z20" i="3" s="1"/>
  <c r="T20" i="3"/>
  <c r="P21" i="3"/>
  <c r="X21" i="3" s="1"/>
  <c r="Q21" i="3"/>
  <c r="H13" i="1"/>
  <c r="Q13" i="1"/>
  <c r="M13" i="1"/>
  <c r="M13" i="13" l="1"/>
  <c r="H13" i="13"/>
  <c r="Q13" i="13"/>
  <c r="N12" i="7"/>
  <c r="M12" i="7"/>
  <c r="M22" i="6"/>
  <c r="V20" i="3"/>
  <c r="Q20" i="6"/>
  <c r="R20" i="6" s="1"/>
  <c r="U20" i="6"/>
  <c r="V20" i="6" s="1"/>
  <c r="N21" i="6"/>
  <c r="N12" i="9"/>
  <c r="W12" i="9"/>
  <c r="Y12" i="9" s="1"/>
  <c r="R12" i="9"/>
  <c r="M13" i="9"/>
  <c r="X13" i="9" s="1"/>
  <c r="Q13" i="9"/>
  <c r="AB13" i="9" s="1"/>
  <c r="H13" i="9"/>
  <c r="Q13" i="7"/>
  <c r="H13" i="7"/>
  <c r="U13" i="7"/>
  <c r="K22" i="6"/>
  <c r="L21" i="6"/>
  <c r="F22" i="6"/>
  <c r="U21" i="3"/>
  <c r="Y21" i="3"/>
  <c r="Z21" i="3" s="1"/>
  <c r="T21" i="3"/>
  <c r="P22" i="3"/>
  <c r="X22" i="3" s="1"/>
  <c r="Q22" i="3"/>
  <c r="R22" i="3"/>
  <c r="R23" i="3" s="1"/>
  <c r="H14" i="1" a="1"/>
  <c r="P13" i="1"/>
  <c r="R13" i="1" s="1"/>
  <c r="L13" i="1"/>
  <c r="N13" i="1" s="1"/>
  <c r="H14" i="13" l="1" a="1"/>
  <c r="L13" i="13"/>
  <c r="N13" i="13" s="1"/>
  <c r="P13" i="13"/>
  <c r="R13" i="13" s="1"/>
  <c r="N22" i="6"/>
  <c r="V21" i="3"/>
  <c r="L12" i="7"/>
  <c r="M23" i="6"/>
  <c r="Q21" i="6"/>
  <c r="R21" i="6" s="1"/>
  <c r="U21" i="6"/>
  <c r="V21" i="6" s="1"/>
  <c r="L13" i="9"/>
  <c r="H14" i="9" a="1"/>
  <c r="P13" i="9"/>
  <c r="AA13" i="9" s="1"/>
  <c r="AC13" i="9" s="1"/>
  <c r="P13" i="7"/>
  <c r="R13" i="7" s="1"/>
  <c r="H14" i="7" a="1"/>
  <c r="T13" i="7"/>
  <c r="V13" i="7" s="1"/>
  <c r="K23" i="6"/>
  <c r="N23" i="6" s="1"/>
  <c r="L22" i="6"/>
  <c r="F23" i="6"/>
  <c r="U22" i="3"/>
  <c r="Y22" i="3"/>
  <c r="Z22" i="3"/>
  <c r="T22" i="3"/>
  <c r="V22" i="3" s="1"/>
  <c r="P23" i="3"/>
  <c r="X23" i="3" s="1"/>
  <c r="Q23" i="3"/>
  <c r="R24" i="3" s="1"/>
  <c r="H14" i="1"/>
  <c r="M14" i="1"/>
  <c r="Q14" i="1"/>
  <c r="H14" i="13" l="1"/>
  <c r="Q14" i="13"/>
  <c r="M14" i="13"/>
  <c r="M13" i="7"/>
  <c r="N13" i="7"/>
  <c r="U22" i="6"/>
  <c r="V22" i="6" s="1"/>
  <c r="Q22" i="6"/>
  <c r="R22" i="6" s="1"/>
  <c r="M24" i="6"/>
  <c r="N13" i="9"/>
  <c r="W13" i="9"/>
  <c r="Y13" i="9" s="1"/>
  <c r="R13" i="9"/>
  <c r="Q14" i="9"/>
  <c r="AB14" i="9" s="1"/>
  <c r="H14" i="9"/>
  <c r="M14" i="9"/>
  <c r="X14" i="9" s="1"/>
  <c r="H14" i="7"/>
  <c r="U14" i="7"/>
  <c r="Q14" i="7"/>
  <c r="K24" i="6"/>
  <c r="L23" i="6"/>
  <c r="F24" i="6"/>
  <c r="U23" i="3"/>
  <c r="Y23" i="3"/>
  <c r="Z23" i="3"/>
  <c r="T23" i="3"/>
  <c r="V23" i="3" s="1"/>
  <c r="P24" i="3"/>
  <c r="X24" i="3" s="1"/>
  <c r="Q24" i="3"/>
  <c r="H15" i="1" a="1"/>
  <c r="P14" i="1"/>
  <c r="R14" i="1" s="1"/>
  <c r="L14" i="1"/>
  <c r="N14" i="1" s="1"/>
  <c r="L14" i="13" l="1"/>
  <c r="N14" i="13" s="1"/>
  <c r="H15" i="13" a="1"/>
  <c r="P14" i="13"/>
  <c r="R14" i="13" s="1"/>
  <c r="L13" i="7"/>
  <c r="N24" i="6"/>
  <c r="U23" i="6"/>
  <c r="V23" i="6" s="1"/>
  <c r="Q23" i="6"/>
  <c r="R23" i="6" s="1"/>
  <c r="M25" i="6"/>
  <c r="M26" i="6" s="1"/>
  <c r="L14" i="9"/>
  <c r="P14" i="9"/>
  <c r="AA14" i="9" s="1"/>
  <c r="AC14" i="9" s="1"/>
  <c r="H15" i="9" a="1"/>
  <c r="P14" i="7"/>
  <c r="R14" i="7" s="1"/>
  <c r="H15" i="7" a="1"/>
  <c r="T14" i="7"/>
  <c r="V14" i="7" s="1"/>
  <c r="K25" i="6"/>
  <c r="L24" i="6"/>
  <c r="F25" i="6"/>
  <c r="U24" i="3"/>
  <c r="Y24" i="3"/>
  <c r="Z24" i="3" s="1"/>
  <c r="R25" i="3"/>
  <c r="T24" i="3"/>
  <c r="P25" i="3"/>
  <c r="X25" i="3" s="1"/>
  <c r="Q25" i="3"/>
  <c r="H15" i="1"/>
  <c r="M15" i="1"/>
  <c r="Q15" i="1"/>
  <c r="H15" i="13" l="1"/>
  <c r="M15" i="13"/>
  <c r="Q15" i="13"/>
  <c r="V24" i="3"/>
  <c r="M14" i="7"/>
  <c r="N14" i="7"/>
  <c r="U24" i="6"/>
  <c r="V24" i="6" s="1"/>
  <c r="Q24" i="6"/>
  <c r="R24" i="6" s="1"/>
  <c r="N25" i="6"/>
  <c r="N14" i="9"/>
  <c r="W14" i="9"/>
  <c r="Y14" i="9" s="1"/>
  <c r="R14" i="9"/>
  <c r="H15" i="9"/>
  <c r="Q15" i="9"/>
  <c r="AB15" i="9" s="1"/>
  <c r="M15" i="9"/>
  <c r="X15" i="9" s="1"/>
  <c r="H15" i="7"/>
  <c r="U15" i="7"/>
  <c r="Q15" i="7"/>
  <c r="K26" i="6"/>
  <c r="N26" i="6" s="1"/>
  <c r="L25" i="6"/>
  <c r="F26" i="6"/>
  <c r="U25" i="3"/>
  <c r="Y25" i="3"/>
  <c r="Z25" i="3" s="1"/>
  <c r="T25" i="3"/>
  <c r="V25" i="3" s="1"/>
  <c r="Q26" i="3"/>
  <c r="P26" i="3"/>
  <c r="X26" i="3" s="1"/>
  <c r="R26" i="3"/>
  <c r="H16" i="1" a="1"/>
  <c r="L15" i="1"/>
  <c r="N15" i="1" s="1"/>
  <c r="P15" i="1"/>
  <c r="R15" i="1" s="1"/>
  <c r="H16" i="13" l="1" a="1"/>
  <c r="P15" i="13"/>
  <c r="R15" i="13" s="1"/>
  <c r="L15" i="13"/>
  <c r="N15" i="13" s="1"/>
  <c r="L14" i="7"/>
  <c r="R27" i="3"/>
  <c r="Q25" i="6"/>
  <c r="R25" i="6" s="1"/>
  <c r="U25" i="6"/>
  <c r="V25" i="6" s="1"/>
  <c r="M27" i="6"/>
  <c r="M28" i="6" s="1"/>
  <c r="H16" i="9" a="1"/>
  <c r="P15" i="9"/>
  <c r="AA15" i="9" s="1"/>
  <c r="AC15" i="9" s="1"/>
  <c r="L15" i="9"/>
  <c r="H16" i="7" a="1"/>
  <c r="T15" i="7"/>
  <c r="V15" i="7" s="1"/>
  <c r="P15" i="7"/>
  <c r="R15" i="7" s="1"/>
  <c r="K27" i="6"/>
  <c r="L26" i="6"/>
  <c r="F27" i="6"/>
  <c r="U26" i="3"/>
  <c r="Y26" i="3"/>
  <c r="Z26" i="3" s="1"/>
  <c r="T26" i="3"/>
  <c r="Q27" i="3"/>
  <c r="P27" i="3"/>
  <c r="X27" i="3" s="1"/>
  <c r="H16" i="1"/>
  <c r="Q16" i="1"/>
  <c r="M16" i="1"/>
  <c r="Q16" i="13" l="1"/>
  <c r="M16" i="13"/>
  <c r="H16" i="13"/>
  <c r="V26" i="3"/>
  <c r="M15" i="7"/>
  <c r="N15" i="7"/>
  <c r="Q26" i="6"/>
  <c r="R26" i="6" s="1"/>
  <c r="U26" i="6"/>
  <c r="V26" i="6" s="1"/>
  <c r="N27" i="6"/>
  <c r="N15" i="9"/>
  <c r="W15" i="9"/>
  <c r="Y15" i="9" s="1"/>
  <c r="R15" i="9"/>
  <c r="M16" i="9"/>
  <c r="X16" i="9" s="1"/>
  <c r="Q16" i="9"/>
  <c r="AB16" i="9" s="1"/>
  <c r="H16" i="9"/>
  <c r="U16" i="7"/>
  <c r="Q16" i="7"/>
  <c r="H16" i="7"/>
  <c r="K28" i="6"/>
  <c r="N28" i="6" s="1"/>
  <c r="L27" i="6"/>
  <c r="F28" i="6"/>
  <c r="U27" i="3"/>
  <c r="Y27" i="3"/>
  <c r="Z27" i="3" s="1"/>
  <c r="T27" i="3"/>
  <c r="P28" i="3"/>
  <c r="X28" i="3" s="1"/>
  <c r="Q28" i="3"/>
  <c r="R28" i="3"/>
  <c r="H17" i="1" a="1"/>
  <c r="P16" i="1"/>
  <c r="R16" i="1" s="1"/>
  <c r="L16" i="1"/>
  <c r="N16" i="1" s="1"/>
  <c r="L16" i="13" l="1"/>
  <c r="N16" i="13" s="1"/>
  <c r="H17" i="13" a="1"/>
  <c r="P16" i="13"/>
  <c r="R16" i="13" s="1"/>
  <c r="V27" i="3"/>
  <c r="L15" i="7"/>
  <c r="Q27" i="6"/>
  <c r="R27" i="6" s="1"/>
  <c r="U27" i="6"/>
  <c r="V27" i="6" s="1"/>
  <c r="M29" i="6"/>
  <c r="P16" i="9"/>
  <c r="AA16" i="9" s="1"/>
  <c r="AC16" i="9" s="1"/>
  <c r="L16" i="9"/>
  <c r="H17" i="9" a="1"/>
  <c r="T16" i="7"/>
  <c r="V16" i="7" s="1"/>
  <c r="H17" i="7" a="1"/>
  <c r="P16" i="7"/>
  <c r="R16" i="7" s="1"/>
  <c r="K29" i="6"/>
  <c r="L28" i="6"/>
  <c r="F29" i="6"/>
  <c r="R29" i="3"/>
  <c r="U28" i="3"/>
  <c r="Y28" i="3"/>
  <c r="Z28" i="3"/>
  <c r="T28" i="3"/>
  <c r="V28" i="3" s="1"/>
  <c r="Q29" i="3"/>
  <c r="P29" i="3"/>
  <c r="X29" i="3" s="1"/>
  <c r="H17" i="1"/>
  <c r="Q17" i="1"/>
  <c r="M17" i="1"/>
  <c r="Q17" i="13" l="1"/>
  <c r="M17" i="13"/>
  <c r="H17" i="13"/>
  <c r="M30" i="6"/>
  <c r="M16" i="7"/>
  <c r="N16" i="7"/>
  <c r="Q28" i="6"/>
  <c r="R28" i="6" s="1"/>
  <c r="U28" i="6"/>
  <c r="V28" i="6" s="1"/>
  <c r="N29" i="6"/>
  <c r="N16" i="9"/>
  <c r="W16" i="9"/>
  <c r="Y16" i="9" s="1"/>
  <c r="R16" i="9"/>
  <c r="M17" i="9"/>
  <c r="X17" i="9" s="1"/>
  <c r="H17" i="9"/>
  <c r="Q17" i="9"/>
  <c r="AB17" i="9" s="1"/>
  <c r="U17" i="7"/>
  <c r="Q17" i="7"/>
  <c r="H17" i="7"/>
  <c r="K30" i="6"/>
  <c r="N30" i="6" s="1"/>
  <c r="L29" i="6"/>
  <c r="F30" i="6"/>
  <c r="U29" i="3"/>
  <c r="Y29" i="3"/>
  <c r="Z29" i="3" s="1"/>
  <c r="T29" i="3"/>
  <c r="V29" i="3" s="1"/>
  <c r="Q30" i="3"/>
  <c r="P30" i="3"/>
  <c r="X30" i="3" s="1"/>
  <c r="R30" i="3"/>
  <c r="H18" i="1" a="1"/>
  <c r="P17" i="1"/>
  <c r="R17" i="1" s="1"/>
  <c r="L17" i="1"/>
  <c r="N17" i="1" s="1"/>
  <c r="P17" i="13" l="1"/>
  <c r="R17" i="13" s="1"/>
  <c r="L17" i="13"/>
  <c r="N17" i="13" s="1"/>
  <c r="H18" i="13" a="1"/>
  <c r="L16" i="7"/>
  <c r="Q29" i="6"/>
  <c r="R29" i="6" s="1"/>
  <c r="U29" i="6"/>
  <c r="V29" i="6" s="1"/>
  <c r="M31" i="6"/>
  <c r="L17" i="9"/>
  <c r="H18" i="9" a="1"/>
  <c r="P17" i="9"/>
  <c r="AA17" i="9" s="1"/>
  <c r="AC17" i="9" s="1"/>
  <c r="T17" i="7"/>
  <c r="V17" i="7" s="1"/>
  <c r="P17" i="7"/>
  <c r="R17" i="7" s="1"/>
  <c r="H18" i="7" a="1"/>
  <c r="K31" i="6"/>
  <c r="L30" i="6"/>
  <c r="F31" i="6"/>
  <c r="U30" i="3"/>
  <c r="Y30" i="3"/>
  <c r="Z30" i="3" s="1"/>
  <c r="R31" i="3"/>
  <c r="T30" i="3"/>
  <c r="P31" i="3"/>
  <c r="X31" i="3" s="1"/>
  <c r="Q31" i="3"/>
  <c r="H18" i="1"/>
  <c r="M18" i="1"/>
  <c r="Q18" i="1"/>
  <c r="Q18" i="13" l="1"/>
  <c r="H18" i="13"/>
  <c r="M18" i="13"/>
  <c r="M17" i="7"/>
  <c r="N17" i="7"/>
  <c r="V30" i="3"/>
  <c r="M32" i="6"/>
  <c r="U30" i="6"/>
  <c r="V30" i="6" s="1"/>
  <c r="Q30" i="6"/>
  <c r="R30" i="6" s="1"/>
  <c r="N31" i="6"/>
  <c r="N17" i="9"/>
  <c r="W17" i="9"/>
  <c r="Y17" i="9" s="1"/>
  <c r="R17" i="9"/>
  <c r="Q18" i="9"/>
  <c r="AB18" i="9" s="1"/>
  <c r="M18" i="9"/>
  <c r="X18" i="9" s="1"/>
  <c r="H18" i="9"/>
  <c r="U18" i="7"/>
  <c r="Q18" i="7"/>
  <c r="H18" i="7"/>
  <c r="K32" i="6"/>
  <c r="L31" i="6"/>
  <c r="F32" i="6"/>
  <c r="U31" i="3"/>
  <c r="Y31" i="3"/>
  <c r="Z31" i="3"/>
  <c r="T31" i="3"/>
  <c r="P32" i="3"/>
  <c r="X32" i="3" s="1"/>
  <c r="Q32" i="3"/>
  <c r="R32" i="3"/>
  <c r="R33" i="3" s="1"/>
  <c r="H19" i="1" a="1"/>
  <c r="L18" i="1"/>
  <c r="N18" i="1" s="1"/>
  <c r="P18" i="1"/>
  <c r="R18" i="1" s="1"/>
  <c r="P18" i="13" l="1"/>
  <c r="R18" i="13" s="1"/>
  <c r="L18" i="13"/>
  <c r="N18" i="13" s="1"/>
  <c r="H19" i="13" a="1"/>
  <c r="N32" i="6"/>
  <c r="L17" i="7"/>
  <c r="V31" i="3"/>
  <c r="U31" i="6"/>
  <c r="V31" i="6" s="1"/>
  <c r="Q31" i="6"/>
  <c r="R31" i="6" s="1"/>
  <c r="M33" i="6"/>
  <c r="M34" i="6" s="1"/>
  <c r="L18" i="9"/>
  <c r="H19" i="9" a="1"/>
  <c r="P18" i="9"/>
  <c r="AA18" i="9" s="1"/>
  <c r="AC18" i="9" s="1"/>
  <c r="T18" i="7"/>
  <c r="V18" i="7" s="1"/>
  <c r="P18" i="7"/>
  <c r="R18" i="7" s="1"/>
  <c r="H19" i="7" a="1"/>
  <c r="K33" i="6"/>
  <c r="L32" i="6"/>
  <c r="F33" i="6"/>
  <c r="U32" i="3"/>
  <c r="Y32" i="3"/>
  <c r="Z32" i="3"/>
  <c r="T32" i="3"/>
  <c r="V32" i="3" s="1"/>
  <c r="P33" i="3"/>
  <c r="X33" i="3" s="1"/>
  <c r="Q33" i="3"/>
  <c r="H19" i="1"/>
  <c r="Q19" i="1"/>
  <c r="M19" i="1"/>
  <c r="M19" i="13" l="1"/>
  <c r="H19" i="13"/>
  <c r="Q19" i="13"/>
  <c r="M18" i="7"/>
  <c r="N18" i="7"/>
  <c r="N33" i="6"/>
  <c r="U32" i="6"/>
  <c r="V32" i="6" s="1"/>
  <c r="Q32" i="6"/>
  <c r="R32" i="6" s="1"/>
  <c r="N18" i="9"/>
  <c r="W18" i="9"/>
  <c r="Y18" i="9" s="1"/>
  <c r="R18" i="9"/>
  <c r="H19" i="9"/>
  <c r="Q19" i="9"/>
  <c r="AB19" i="9" s="1"/>
  <c r="M19" i="9"/>
  <c r="X19" i="9" s="1"/>
  <c r="Q19" i="7"/>
  <c r="H19" i="7"/>
  <c r="U19" i="7"/>
  <c r="K34" i="6"/>
  <c r="N34" i="6" s="1"/>
  <c r="L33" i="6"/>
  <c r="F34" i="6"/>
  <c r="U33" i="3"/>
  <c r="Y33" i="3"/>
  <c r="Z33" i="3"/>
  <c r="T33" i="3"/>
  <c r="V33" i="3" s="1"/>
  <c r="Q34" i="3"/>
  <c r="P34" i="3"/>
  <c r="X34" i="3" s="1"/>
  <c r="R34" i="3"/>
  <c r="R35" i="3" s="1"/>
  <c r="H20" i="1" a="1"/>
  <c r="L19" i="1"/>
  <c r="N19" i="1" s="1"/>
  <c r="P19" i="1"/>
  <c r="R19" i="1" s="1"/>
  <c r="P19" i="13" l="1"/>
  <c r="R19" i="13" s="1"/>
  <c r="H20" i="13" a="1"/>
  <c r="L19" i="13"/>
  <c r="N19" i="13" s="1"/>
  <c r="L18" i="7"/>
  <c r="M35" i="6"/>
  <c r="Q33" i="6"/>
  <c r="R33" i="6" s="1"/>
  <c r="U33" i="6"/>
  <c r="V33" i="6" s="1"/>
  <c r="M36" i="6"/>
  <c r="P19" i="9"/>
  <c r="AA19" i="9" s="1"/>
  <c r="AC19" i="9" s="1"/>
  <c r="L19" i="9"/>
  <c r="H20" i="9" a="1"/>
  <c r="T19" i="7"/>
  <c r="V19" i="7" s="1"/>
  <c r="P19" i="7"/>
  <c r="R19" i="7" s="1"/>
  <c r="H20" i="7" a="1"/>
  <c r="K35" i="6"/>
  <c r="N35" i="6" s="1"/>
  <c r="L34" i="6"/>
  <c r="F35" i="6"/>
  <c r="U34" i="3"/>
  <c r="Y34" i="3"/>
  <c r="Z34" i="3" s="1"/>
  <c r="T34" i="3"/>
  <c r="Q35" i="3"/>
  <c r="P35" i="3"/>
  <c r="X35" i="3" s="1"/>
  <c r="H20" i="1"/>
  <c r="Q20" i="1"/>
  <c r="M20" i="1"/>
  <c r="M20" i="13" l="1"/>
  <c r="Q20" i="13"/>
  <c r="H20" i="13"/>
  <c r="M19" i="7"/>
  <c r="N19" i="7"/>
  <c r="V34" i="3"/>
  <c r="Q34" i="6"/>
  <c r="R34" i="6" s="1"/>
  <c r="U34" i="6"/>
  <c r="V34" i="6" s="1"/>
  <c r="N19" i="9"/>
  <c r="W19" i="9"/>
  <c r="Y19" i="9" s="1"/>
  <c r="R19" i="9"/>
  <c r="H20" i="9"/>
  <c r="Q20" i="9"/>
  <c r="AB20" i="9" s="1"/>
  <c r="M20" i="9"/>
  <c r="X20" i="9" s="1"/>
  <c r="Q20" i="7"/>
  <c r="H20" i="7"/>
  <c r="U20" i="7"/>
  <c r="K36" i="6"/>
  <c r="N36" i="6" s="1"/>
  <c r="L35" i="6"/>
  <c r="F36" i="6"/>
  <c r="U35" i="3"/>
  <c r="Y35" i="3"/>
  <c r="Z35" i="3" s="1"/>
  <c r="T35" i="3"/>
  <c r="V35" i="3" s="1"/>
  <c r="R36" i="3"/>
  <c r="P36" i="3"/>
  <c r="X36" i="3" s="1"/>
  <c r="Q36" i="3"/>
  <c r="H21" i="1" a="1"/>
  <c r="P20" i="1"/>
  <c r="R20" i="1" s="1"/>
  <c r="L20" i="1"/>
  <c r="N20" i="1" s="1"/>
  <c r="L20" i="13" l="1"/>
  <c r="N20" i="13" s="1"/>
  <c r="P20" i="13"/>
  <c r="R20" i="13" s="1"/>
  <c r="H21" i="13" a="1"/>
  <c r="L19" i="7"/>
  <c r="Q35" i="6"/>
  <c r="R35" i="6" s="1"/>
  <c r="U35" i="6"/>
  <c r="V35" i="6" s="1"/>
  <c r="M37" i="6"/>
  <c r="M38" i="6" s="1"/>
  <c r="H21" i="9" a="1"/>
  <c r="L20" i="9"/>
  <c r="P20" i="9"/>
  <c r="AA20" i="9" s="1"/>
  <c r="AC20" i="9" s="1"/>
  <c r="P20" i="7"/>
  <c r="R20" i="7" s="1"/>
  <c r="H21" i="7" a="1"/>
  <c r="T20" i="7"/>
  <c r="V20" i="7" s="1"/>
  <c r="K37" i="6"/>
  <c r="L36" i="6"/>
  <c r="F37" i="6"/>
  <c r="U36" i="3"/>
  <c r="Y36" i="3"/>
  <c r="Z36" i="3" s="1"/>
  <c r="T36" i="3"/>
  <c r="R37" i="3"/>
  <c r="Q37" i="3"/>
  <c r="P37" i="3"/>
  <c r="X37" i="3" s="1"/>
  <c r="H21" i="1"/>
  <c r="M21" i="1"/>
  <c r="Q21" i="1"/>
  <c r="M21" i="13" l="1"/>
  <c r="H21" i="13"/>
  <c r="Q21" i="13"/>
  <c r="N20" i="7"/>
  <c r="M20" i="7"/>
  <c r="V36" i="3"/>
  <c r="Q36" i="6"/>
  <c r="R36" i="6" s="1"/>
  <c r="U36" i="6"/>
  <c r="V36" i="6" s="1"/>
  <c r="N37" i="6"/>
  <c r="N20" i="9"/>
  <c r="W20" i="9"/>
  <c r="Y20" i="9" s="1"/>
  <c r="R20" i="9"/>
  <c r="M21" i="9"/>
  <c r="X21" i="9" s="1"/>
  <c r="Q21" i="9"/>
  <c r="AB21" i="9" s="1"/>
  <c r="H21" i="9"/>
  <c r="Q21" i="7"/>
  <c r="H21" i="7"/>
  <c r="U21" i="7"/>
  <c r="K38" i="6"/>
  <c r="N38" i="6" s="1"/>
  <c r="L37" i="6"/>
  <c r="F38" i="6"/>
  <c r="U37" i="3"/>
  <c r="Y37" i="3"/>
  <c r="Z37" i="3"/>
  <c r="T37" i="3"/>
  <c r="V37" i="3" s="1"/>
  <c r="R38" i="3"/>
  <c r="P38" i="3"/>
  <c r="X38" i="3" s="1"/>
  <c r="Q38" i="3"/>
  <c r="H22" i="1" a="1"/>
  <c r="L21" i="1"/>
  <c r="N21" i="1" s="1"/>
  <c r="P21" i="1"/>
  <c r="R21" i="1" s="1"/>
  <c r="H22" i="13" l="1" a="1"/>
  <c r="L21" i="13"/>
  <c r="N21" i="13" s="1"/>
  <c r="P21" i="13"/>
  <c r="R21" i="13" s="1"/>
  <c r="L20" i="7"/>
  <c r="Q37" i="6"/>
  <c r="R37" i="6" s="1"/>
  <c r="U37" i="6"/>
  <c r="V37" i="6" s="1"/>
  <c r="M39" i="6"/>
  <c r="M40" i="6" s="1"/>
  <c r="P21" i="9"/>
  <c r="AA21" i="9" s="1"/>
  <c r="AC21" i="9" s="1"/>
  <c r="L21" i="9"/>
  <c r="H22" i="9" a="1"/>
  <c r="P21" i="7"/>
  <c r="R21" i="7" s="1"/>
  <c r="H22" i="7" a="1"/>
  <c r="T21" i="7"/>
  <c r="V21" i="7" s="1"/>
  <c r="K39" i="6"/>
  <c r="L38" i="6"/>
  <c r="F39" i="6"/>
  <c r="U38" i="3"/>
  <c r="Y38" i="3"/>
  <c r="Z38" i="3" s="1"/>
  <c r="R39" i="3"/>
  <c r="T38" i="3"/>
  <c r="Q39" i="3"/>
  <c r="P39" i="3"/>
  <c r="X39" i="3" s="1"/>
  <c r="H22" i="1"/>
  <c r="Q22" i="1"/>
  <c r="M22" i="1"/>
  <c r="H22" i="13" l="1"/>
  <c r="Q22" i="13"/>
  <c r="M22" i="13"/>
  <c r="V38" i="3"/>
  <c r="M21" i="7"/>
  <c r="N21" i="7"/>
  <c r="U38" i="6"/>
  <c r="V38" i="6" s="1"/>
  <c r="Q38" i="6"/>
  <c r="R38" i="6" s="1"/>
  <c r="N39" i="6"/>
  <c r="N21" i="9"/>
  <c r="W21" i="9"/>
  <c r="Y21" i="9" s="1"/>
  <c r="R21" i="9"/>
  <c r="Q22" i="9"/>
  <c r="AB22" i="9" s="1"/>
  <c r="H22" i="9"/>
  <c r="M22" i="9"/>
  <c r="X22" i="9" s="1"/>
  <c r="H22" i="7"/>
  <c r="U22" i="7"/>
  <c r="Q22" i="7"/>
  <c r="K40" i="6"/>
  <c r="N40" i="6" s="1"/>
  <c r="L39" i="6"/>
  <c r="F40" i="6"/>
  <c r="U39" i="3"/>
  <c r="Y39" i="3"/>
  <c r="Z39" i="3" s="1"/>
  <c r="T39" i="3"/>
  <c r="V39" i="3" s="1"/>
  <c r="R40" i="3"/>
  <c r="P40" i="3"/>
  <c r="X40" i="3" s="1"/>
  <c r="Q40" i="3"/>
  <c r="H23" i="1" a="1"/>
  <c r="L22" i="1"/>
  <c r="N22" i="1" s="1"/>
  <c r="P22" i="1"/>
  <c r="R22" i="1" s="1"/>
  <c r="L22" i="13" l="1"/>
  <c r="N22" i="13" s="1"/>
  <c r="H23" i="13" a="1"/>
  <c r="P22" i="13"/>
  <c r="R22" i="13" s="1"/>
  <c r="L21" i="7"/>
  <c r="Q39" i="6"/>
  <c r="R39" i="6" s="1"/>
  <c r="U39" i="6"/>
  <c r="V39" i="6" s="1"/>
  <c r="M41" i="6"/>
  <c r="M42" i="6" s="1"/>
  <c r="L22" i="9"/>
  <c r="P22" i="9"/>
  <c r="AA22" i="9" s="1"/>
  <c r="AC22" i="9" s="1"/>
  <c r="H23" i="9" a="1"/>
  <c r="P22" i="7"/>
  <c r="R22" i="7" s="1"/>
  <c r="H23" i="7" a="1"/>
  <c r="T22" i="7"/>
  <c r="V22" i="7" s="1"/>
  <c r="K41" i="6"/>
  <c r="L40" i="6"/>
  <c r="F41" i="6"/>
  <c r="U40" i="3"/>
  <c r="Y40" i="3"/>
  <c r="Z40" i="3" s="1"/>
  <c r="R41" i="3"/>
  <c r="T40" i="3"/>
  <c r="P41" i="3"/>
  <c r="X41" i="3" s="1"/>
  <c r="Q41" i="3"/>
  <c r="H23" i="1"/>
  <c r="M23" i="1"/>
  <c r="Q23" i="1"/>
  <c r="H23" i="13" l="1"/>
  <c r="M23" i="13"/>
  <c r="Q23" i="13"/>
  <c r="V40" i="3"/>
  <c r="M22" i="7"/>
  <c r="N22" i="7"/>
  <c r="Q40" i="6"/>
  <c r="R40" i="6" s="1"/>
  <c r="U40" i="6"/>
  <c r="V40" i="6" s="1"/>
  <c r="N41" i="6"/>
  <c r="N22" i="9"/>
  <c r="W22" i="9"/>
  <c r="Y22" i="9" s="1"/>
  <c r="R22" i="9"/>
  <c r="H23" i="9"/>
  <c r="Q23" i="9"/>
  <c r="AB23" i="9" s="1"/>
  <c r="M23" i="9"/>
  <c r="X23" i="9" s="1"/>
  <c r="H23" i="7"/>
  <c r="U23" i="7"/>
  <c r="Q23" i="7"/>
  <c r="K42" i="6"/>
  <c r="N42" i="6" s="1"/>
  <c r="L41" i="6"/>
  <c r="F42" i="6"/>
  <c r="U41" i="3"/>
  <c r="Y41" i="3"/>
  <c r="Z41" i="3"/>
  <c r="T41" i="3"/>
  <c r="V41" i="3" s="1"/>
  <c r="R42" i="3"/>
  <c r="Q42" i="3"/>
  <c r="P42" i="3"/>
  <c r="X42" i="3" s="1"/>
  <c r="H24" i="1" a="1"/>
  <c r="P23" i="1"/>
  <c r="R23" i="1" s="1"/>
  <c r="L23" i="1"/>
  <c r="N23" i="1" s="1"/>
  <c r="H24" i="13" l="1" a="1"/>
  <c r="P23" i="13"/>
  <c r="R23" i="13" s="1"/>
  <c r="L23" i="13"/>
  <c r="N23" i="13" s="1"/>
  <c r="L22" i="7"/>
  <c r="Q41" i="6"/>
  <c r="R41" i="6" s="1"/>
  <c r="U41" i="6"/>
  <c r="V41" i="6" s="1"/>
  <c r="M43" i="6"/>
  <c r="H24" i="9" a="1"/>
  <c r="P23" i="9"/>
  <c r="AA23" i="9" s="1"/>
  <c r="AC23" i="9" s="1"/>
  <c r="L23" i="9"/>
  <c r="H24" i="7" a="1"/>
  <c r="T23" i="7"/>
  <c r="V23" i="7" s="1"/>
  <c r="P23" i="7"/>
  <c r="R23" i="7" s="1"/>
  <c r="K43" i="6"/>
  <c r="L42" i="6"/>
  <c r="F43" i="6"/>
  <c r="U42" i="3"/>
  <c r="Y42" i="3"/>
  <c r="Z42" i="3" s="1"/>
  <c r="T42" i="3"/>
  <c r="R43" i="3"/>
  <c r="Q43" i="3"/>
  <c r="P43" i="3"/>
  <c r="H24" i="1"/>
  <c r="M24" i="1"/>
  <c r="Q24" i="1"/>
  <c r="Q24" i="13" l="1"/>
  <c r="M24" i="13"/>
  <c r="H24" i="13"/>
  <c r="V42" i="3"/>
  <c r="M23" i="7"/>
  <c r="N23" i="7"/>
  <c r="Q42" i="6"/>
  <c r="R42" i="6" s="1"/>
  <c r="U42" i="6"/>
  <c r="V42" i="6" s="1"/>
  <c r="L43" i="6"/>
  <c r="N43" i="6"/>
  <c r="N23" i="9"/>
  <c r="W23" i="9"/>
  <c r="Y23" i="9" s="1"/>
  <c r="R23" i="9"/>
  <c r="M24" i="9"/>
  <c r="X24" i="9" s="1"/>
  <c r="H24" i="9"/>
  <c r="Q24" i="9"/>
  <c r="AB24" i="9" s="1"/>
  <c r="U24" i="7"/>
  <c r="Q24" i="7"/>
  <c r="H24" i="7"/>
  <c r="T43" i="3"/>
  <c r="X43" i="3"/>
  <c r="U43" i="3"/>
  <c r="Y43" i="3"/>
  <c r="V43" i="3"/>
  <c r="H25" i="1" a="1"/>
  <c r="L24" i="1"/>
  <c r="N24" i="1" s="1"/>
  <c r="P24" i="1"/>
  <c r="R24" i="1" s="1"/>
  <c r="L24" i="13" l="1"/>
  <c r="N24" i="13" s="1"/>
  <c r="H25" i="13" a="1"/>
  <c r="P24" i="13"/>
  <c r="R24" i="13" s="1"/>
  <c r="L23" i="7"/>
  <c r="Q43" i="6"/>
  <c r="U43" i="6"/>
  <c r="P24" i="9"/>
  <c r="AA24" i="9" s="1"/>
  <c r="AC24" i="9" s="1"/>
  <c r="L24" i="9"/>
  <c r="H25" i="9" a="1"/>
  <c r="T24" i="7"/>
  <c r="V24" i="7" s="1"/>
  <c r="H25" i="7" a="1"/>
  <c r="P24" i="7"/>
  <c r="R24" i="7" s="1"/>
  <c r="Z43" i="3"/>
  <c r="H25" i="1"/>
  <c r="M25" i="1"/>
  <c r="Q25" i="1"/>
  <c r="Q25" i="13" l="1"/>
  <c r="M25" i="13"/>
  <c r="H25" i="13"/>
  <c r="M24" i="7"/>
  <c r="N24" i="7"/>
  <c r="V43" i="6"/>
  <c r="V45" i="6" s="1"/>
  <c r="U45" i="6"/>
  <c r="R43" i="6"/>
  <c r="R45" i="6" s="1"/>
  <c r="Q45" i="6"/>
  <c r="N24" i="9"/>
  <c r="W24" i="9"/>
  <c r="Y24" i="9" s="1"/>
  <c r="R24" i="9"/>
  <c r="M25" i="9"/>
  <c r="X25" i="9" s="1"/>
  <c r="H25" i="9"/>
  <c r="Q25" i="9"/>
  <c r="AB25" i="9" s="1"/>
  <c r="U25" i="7"/>
  <c r="Q25" i="7"/>
  <c r="H25" i="7"/>
  <c r="H26" i="1" a="1"/>
  <c r="L25" i="1"/>
  <c r="N25" i="1" s="1"/>
  <c r="P25" i="1"/>
  <c r="R25" i="1" s="1"/>
  <c r="P25" i="13" l="1"/>
  <c r="R25" i="13" s="1"/>
  <c r="L25" i="13"/>
  <c r="N25" i="13" s="1"/>
  <c r="H26" i="13" a="1"/>
  <c r="L24" i="7"/>
  <c r="L25" i="9"/>
  <c r="H26" i="9" a="1"/>
  <c r="P25" i="9"/>
  <c r="AA25" i="9" s="1"/>
  <c r="AC25" i="9" s="1"/>
  <c r="T25" i="7"/>
  <c r="V25" i="7" s="1"/>
  <c r="P25" i="7"/>
  <c r="R25" i="7" s="1"/>
  <c r="H26" i="7" a="1"/>
  <c r="H26" i="1"/>
  <c r="Q26" i="1"/>
  <c r="M26" i="1"/>
  <c r="Q26" i="13" l="1"/>
  <c r="H26" i="13"/>
  <c r="M26" i="13"/>
  <c r="M25" i="7"/>
  <c r="N25" i="7"/>
  <c r="N25" i="9"/>
  <c r="W25" i="9"/>
  <c r="Y25" i="9" s="1"/>
  <c r="R25" i="9"/>
  <c r="Q26" i="9"/>
  <c r="AB26" i="9" s="1"/>
  <c r="M26" i="9"/>
  <c r="X26" i="9" s="1"/>
  <c r="H26" i="9"/>
  <c r="U26" i="7"/>
  <c r="Q26" i="7"/>
  <c r="H26" i="7"/>
  <c r="H27" i="1" a="1"/>
  <c r="P26" i="1"/>
  <c r="R26" i="1" s="1"/>
  <c r="L26" i="1"/>
  <c r="N26" i="1" s="1"/>
  <c r="P26" i="13" l="1"/>
  <c r="R26" i="13" s="1"/>
  <c r="L26" i="13"/>
  <c r="N26" i="13" s="1"/>
  <c r="H27" i="13" a="1"/>
  <c r="L25" i="7"/>
  <c r="L26" i="9"/>
  <c r="H27" i="9" a="1"/>
  <c r="P26" i="9"/>
  <c r="AA26" i="9" s="1"/>
  <c r="AC26" i="9" s="1"/>
  <c r="T26" i="7"/>
  <c r="V26" i="7" s="1"/>
  <c r="P26" i="7"/>
  <c r="R26" i="7" s="1"/>
  <c r="H27" i="7" a="1"/>
  <c r="H27" i="1"/>
  <c r="M27" i="1"/>
  <c r="Q27" i="1"/>
  <c r="M27" i="13" l="1"/>
  <c r="H27" i="13"/>
  <c r="Q27" i="13"/>
  <c r="M26" i="7"/>
  <c r="N26" i="7"/>
  <c r="N26" i="9"/>
  <c r="W26" i="9"/>
  <c r="Y26" i="9" s="1"/>
  <c r="R26" i="9"/>
  <c r="H27" i="9"/>
  <c r="M27" i="9"/>
  <c r="X27" i="9" s="1"/>
  <c r="Q27" i="9"/>
  <c r="AB27" i="9" s="1"/>
  <c r="Q27" i="7"/>
  <c r="H27" i="7"/>
  <c r="U27" i="7"/>
  <c r="H28" i="1" a="1"/>
  <c r="L27" i="1"/>
  <c r="N27" i="1" s="1"/>
  <c r="P27" i="1"/>
  <c r="R27" i="1" s="1"/>
  <c r="P27" i="13" l="1"/>
  <c r="R27" i="13" s="1"/>
  <c r="H28" i="13" a="1"/>
  <c r="L27" i="13"/>
  <c r="N27" i="13" s="1"/>
  <c r="L26" i="7"/>
  <c r="P27" i="9"/>
  <c r="AA27" i="9" s="1"/>
  <c r="AC27" i="9" s="1"/>
  <c r="L27" i="9"/>
  <c r="H28" i="9" a="1"/>
  <c r="T27" i="7"/>
  <c r="V27" i="7" s="1"/>
  <c r="P27" i="7"/>
  <c r="R27" i="7" s="1"/>
  <c r="H28" i="7" a="1"/>
  <c r="H28" i="1"/>
  <c r="M28" i="1"/>
  <c r="Q28" i="1"/>
  <c r="M28" i="13" l="1"/>
  <c r="Q28" i="13"/>
  <c r="H28" i="13"/>
  <c r="M27" i="7"/>
  <c r="N27" i="7"/>
  <c r="N27" i="9"/>
  <c r="W27" i="9"/>
  <c r="Y27" i="9" s="1"/>
  <c r="R27" i="9"/>
  <c r="H28" i="9"/>
  <c r="Q28" i="9"/>
  <c r="AB28" i="9" s="1"/>
  <c r="M28" i="9"/>
  <c r="X28" i="9" s="1"/>
  <c r="Q28" i="7"/>
  <c r="H28" i="7"/>
  <c r="U28" i="7"/>
  <c r="H29" i="1" a="1"/>
  <c r="P28" i="1"/>
  <c r="R28" i="1" s="1"/>
  <c r="L28" i="1"/>
  <c r="N28" i="1" s="1"/>
  <c r="L28" i="13" l="1"/>
  <c r="N28" i="13" s="1"/>
  <c r="P28" i="13"/>
  <c r="R28" i="13" s="1"/>
  <c r="H29" i="13" a="1"/>
  <c r="L27" i="7"/>
  <c r="H29" i="9" a="1"/>
  <c r="L28" i="9"/>
  <c r="P28" i="9"/>
  <c r="AA28" i="9" s="1"/>
  <c r="AC28" i="9" s="1"/>
  <c r="P28" i="7"/>
  <c r="R28" i="7" s="1"/>
  <c r="H29" i="7" a="1"/>
  <c r="T28" i="7"/>
  <c r="V28" i="7" s="1"/>
  <c r="H29" i="1"/>
  <c r="Q29" i="1"/>
  <c r="M29" i="1"/>
  <c r="M29" i="13" l="1"/>
  <c r="H29" i="13"/>
  <c r="Q29" i="13"/>
  <c r="N28" i="7"/>
  <c r="M28" i="7"/>
  <c r="N28" i="9"/>
  <c r="W28" i="9"/>
  <c r="Y28" i="9" s="1"/>
  <c r="R28" i="9"/>
  <c r="M29" i="9"/>
  <c r="X29" i="9" s="1"/>
  <c r="Q29" i="9"/>
  <c r="AB29" i="9" s="1"/>
  <c r="H29" i="9"/>
  <c r="Q29" i="7"/>
  <c r="H29" i="7"/>
  <c r="U29" i="7"/>
  <c r="H30" i="1" a="1"/>
  <c r="P29" i="1"/>
  <c r="R29" i="1" s="1"/>
  <c r="L29" i="1"/>
  <c r="N29" i="1" s="1"/>
  <c r="L29" i="13" l="1"/>
  <c r="N29" i="13" s="1"/>
  <c r="H30" i="13" a="1"/>
  <c r="P29" i="13"/>
  <c r="R29" i="13" s="1"/>
  <c r="L28" i="7"/>
  <c r="P29" i="9"/>
  <c r="AA29" i="9" s="1"/>
  <c r="AC29" i="9" s="1"/>
  <c r="L29" i="9"/>
  <c r="H30" i="9" a="1"/>
  <c r="P29" i="7"/>
  <c r="R29" i="7" s="1"/>
  <c r="H30" i="7" a="1"/>
  <c r="T29" i="7"/>
  <c r="V29" i="7" s="1"/>
  <c r="H30" i="1"/>
  <c r="M30" i="1"/>
  <c r="Q30" i="1"/>
  <c r="H30" i="13" l="1"/>
  <c r="Q30" i="13"/>
  <c r="M30" i="13"/>
  <c r="M29" i="7"/>
  <c r="N29" i="7"/>
  <c r="N29" i="9"/>
  <c r="W29" i="9"/>
  <c r="Y29" i="9" s="1"/>
  <c r="R29" i="9"/>
  <c r="Q30" i="9"/>
  <c r="AB30" i="9" s="1"/>
  <c r="H30" i="9"/>
  <c r="M30" i="9"/>
  <c r="X30" i="9" s="1"/>
  <c r="H30" i="7"/>
  <c r="U30" i="7"/>
  <c r="Q30" i="7"/>
  <c r="H31" i="1" a="1"/>
  <c r="L30" i="1"/>
  <c r="N30" i="1" s="1"/>
  <c r="P30" i="1"/>
  <c r="R30" i="1" s="1"/>
  <c r="L30" i="13" l="1"/>
  <c r="N30" i="13" s="1"/>
  <c r="H31" i="13" a="1"/>
  <c r="P30" i="13"/>
  <c r="R30" i="13" s="1"/>
  <c r="L29" i="7"/>
  <c r="L30" i="9"/>
  <c r="P30" i="9"/>
  <c r="AA30" i="9" s="1"/>
  <c r="AC30" i="9" s="1"/>
  <c r="H31" i="9" a="1"/>
  <c r="P30" i="7"/>
  <c r="R30" i="7" s="1"/>
  <c r="H31" i="7" a="1"/>
  <c r="T30" i="7"/>
  <c r="V30" i="7" s="1"/>
  <c r="H31" i="1"/>
  <c r="M31" i="1"/>
  <c r="Q31" i="1"/>
  <c r="H31" i="13" l="1"/>
  <c r="M31" i="13"/>
  <c r="Q31" i="13"/>
  <c r="M30" i="7"/>
  <c r="N30" i="7"/>
  <c r="N30" i="9"/>
  <c r="W30" i="9"/>
  <c r="Y30" i="9" s="1"/>
  <c r="R30" i="9"/>
  <c r="H31" i="9"/>
  <c r="Q31" i="9"/>
  <c r="AB31" i="9" s="1"/>
  <c r="M31" i="9"/>
  <c r="X31" i="9" s="1"/>
  <c r="H31" i="7"/>
  <c r="U31" i="7"/>
  <c r="Q31" i="7"/>
  <c r="H32" i="1" a="1"/>
  <c r="L31" i="1"/>
  <c r="N31" i="1" s="1"/>
  <c r="P31" i="1"/>
  <c r="R31" i="1" s="1"/>
  <c r="H32" i="13" l="1" a="1"/>
  <c r="P31" i="13"/>
  <c r="R31" i="13" s="1"/>
  <c r="L31" i="13"/>
  <c r="N31" i="13" s="1"/>
  <c r="L30" i="7"/>
  <c r="H32" i="9" a="1"/>
  <c r="P31" i="9"/>
  <c r="AA31" i="9" s="1"/>
  <c r="AC31" i="9" s="1"/>
  <c r="L31" i="9"/>
  <c r="H32" i="7" a="1"/>
  <c r="T31" i="7"/>
  <c r="V31" i="7" s="1"/>
  <c r="P31" i="7"/>
  <c r="R31" i="7" s="1"/>
  <c r="H32" i="1"/>
  <c r="Q32" i="1"/>
  <c r="M32" i="1"/>
  <c r="Q32" i="13" l="1"/>
  <c r="M32" i="13"/>
  <c r="H32" i="13"/>
  <c r="M31" i="7"/>
  <c r="N31" i="7"/>
  <c r="N31" i="9"/>
  <c r="W31" i="9"/>
  <c r="Y31" i="9" s="1"/>
  <c r="R31" i="9"/>
  <c r="M32" i="9"/>
  <c r="X32" i="9" s="1"/>
  <c r="Q32" i="9"/>
  <c r="AB32" i="9" s="1"/>
  <c r="H32" i="9"/>
  <c r="U32" i="7"/>
  <c r="Q32" i="7"/>
  <c r="H32" i="7"/>
  <c r="H33" i="1" a="1"/>
  <c r="P32" i="1"/>
  <c r="R32" i="1" s="1"/>
  <c r="L32" i="1"/>
  <c r="N32" i="1" s="1"/>
  <c r="L32" i="13" l="1"/>
  <c r="N32" i="13" s="1"/>
  <c r="H33" i="13" a="1"/>
  <c r="P32" i="13"/>
  <c r="R32" i="13" s="1"/>
  <c r="L31" i="7"/>
  <c r="P32" i="9"/>
  <c r="AA32" i="9" s="1"/>
  <c r="AC32" i="9" s="1"/>
  <c r="L32" i="9"/>
  <c r="H33" i="9" a="1"/>
  <c r="T32" i="7"/>
  <c r="V32" i="7" s="1"/>
  <c r="H33" i="7" a="1"/>
  <c r="P32" i="7"/>
  <c r="R32" i="7" s="1"/>
  <c r="H33" i="1"/>
  <c r="M33" i="1"/>
  <c r="Q33" i="1"/>
  <c r="Q33" i="13" l="1"/>
  <c r="M33" i="13"/>
  <c r="H33" i="13"/>
  <c r="M32" i="7"/>
  <c r="N32" i="7"/>
  <c r="N32" i="9"/>
  <c r="W32" i="9"/>
  <c r="Y32" i="9" s="1"/>
  <c r="R32" i="9"/>
  <c r="M33" i="9"/>
  <c r="X33" i="9" s="1"/>
  <c r="H33" i="9"/>
  <c r="Q33" i="9"/>
  <c r="AB33" i="9" s="1"/>
  <c r="U33" i="7"/>
  <c r="Q33" i="7"/>
  <c r="H33" i="7"/>
  <c r="H34" i="1" a="1"/>
  <c r="L33" i="1"/>
  <c r="N33" i="1" s="1"/>
  <c r="P33" i="1"/>
  <c r="R33" i="1" s="1"/>
  <c r="P33" i="13" l="1"/>
  <c r="R33" i="13" s="1"/>
  <c r="L33" i="13"/>
  <c r="N33" i="13" s="1"/>
  <c r="H34" i="13" a="1"/>
  <c r="L32" i="7"/>
  <c r="L33" i="9"/>
  <c r="H34" i="9" a="1"/>
  <c r="P33" i="9"/>
  <c r="AA33" i="9" s="1"/>
  <c r="AC33" i="9" s="1"/>
  <c r="T33" i="7"/>
  <c r="V33" i="7" s="1"/>
  <c r="P33" i="7"/>
  <c r="R33" i="7" s="1"/>
  <c r="H34" i="7" a="1"/>
  <c r="H34" i="1"/>
  <c r="Q34" i="1"/>
  <c r="M34" i="1"/>
  <c r="Q34" i="13" l="1"/>
  <c r="M34" i="13"/>
  <c r="H34" i="13"/>
  <c r="M33" i="7"/>
  <c r="N33" i="7"/>
  <c r="N33" i="9"/>
  <c r="W33" i="9"/>
  <c r="Y33" i="9" s="1"/>
  <c r="R33" i="9"/>
  <c r="Q34" i="9"/>
  <c r="AB34" i="9" s="1"/>
  <c r="M34" i="9"/>
  <c r="X34" i="9" s="1"/>
  <c r="H34" i="9"/>
  <c r="U34" i="7"/>
  <c r="Q34" i="7"/>
  <c r="H34" i="7"/>
  <c r="H35" i="1" a="1"/>
  <c r="P34" i="1"/>
  <c r="R34" i="1" s="1"/>
  <c r="L34" i="1"/>
  <c r="N34" i="1" s="1"/>
  <c r="P34" i="13" l="1"/>
  <c r="R34" i="13" s="1"/>
  <c r="L34" i="13"/>
  <c r="N34" i="13" s="1"/>
  <c r="H35" i="13" a="1"/>
  <c r="L33" i="7"/>
  <c r="L34" i="9"/>
  <c r="H35" i="9" a="1"/>
  <c r="P34" i="9"/>
  <c r="AA34" i="9" s="1"/>
  <c r="AC34" i="9" s="1"/>
  <c r="T34" i="7"/>
  <c r="V34" i="7" s="1"/>
  <c r="P34" i="7"/>
  <c r="R34" i="7" s="1"/>
  <c r="H35" i="7" a="1"/>
  <c r="H35" i="1"/>
  <c r="Q35" i="1"/>
  <c r="M35" i="1"/>
  <c r="M35" i="13" l="1"/>
  <c r="H35" i="13"/>
  <c r="Q35" i="13"/>
  <c r="M34" i="7"/>
  <c r="N34" i="7"/>
  <c r="N34" i="9"/>
  <c r="W34" i="9"/>
  <c r="Y34" i="9" s="1"/>
  <c r="R34" i="9"/>
  <c r="H35" i="9"/>
  <c r="M35" i="9"/>
  <c r="X35" i="9" s="1"/>
  <c r="Q35" i="9"/>
  <c r="AB35" i="9" s="1"/>
  <c r="Q35" i="7"/>
  <c r="H35" i="7"/>
  <c r="U35" i="7"/>
  <c r="H36" i="1" a="1"/>
  <c r="P35" i="1"/>
  <c r="R35" i="1" s="1"/>
  <c r="L35" i="1"/>
  <c r="N35" i="1" s="1"/>
  <c r="P35" i="13" l="1"/>
  <c r="R35" i="13" s="1"/>
  <c r="L35" i="13"/>
  <c r="N35" i="13" s="1"/>
  <c r="H36" i="13" a="1"/>
  <c r="L34" i="7"/>
  <c r="P35" i="9"/>
  <c r="AA35" i="9" s="1"/>
  <c r="AC35" i="9" s="1"/>
  <c r="L35" i="9"/>
  <c r="H36" i="9" a="1"/>
  <c r="T35" i="7"/>
  <c r="V35" i="7" s="1"/>
  <c r="P35" i="7"/>
  <c r="R35" i="7" s="1"/>
  <c r="H36" i="7" a="1"/>
  <c r="H36" i="1"/>
  <c r="M36" i="1"/>
  <c r="Q36" i="1"/>
  <c r="H36" i="13" l="1"/>
  <c r="M36" i="13"/>
  <c r="Q36" i="13"/>
  <c r="M35" i="7"/>
  <c r="N35" i="7"/>
  <c r="N35" i="9"/>
  <c r="W35" i="9"/>
  <c r="Y35" i="9" s="1"/>
  <c r="R35" i="9"/>
  <c r="H36" i="9"/>
  <c r="Q36" i="9"/>
  <c r="AB36" i="9" s="1"/>
  <c r="M36" i="9"/>
  <c r="X36" i="9" s="1"/>
  <c r="Q36" i="7"/>
  <c r="H36" i="7"/>
  <c r="U36" i="7"/>
  <c r="H37" i="1" a="1"/>
  <c r="L36" i="1"/>
  <c r="N36" i="1" s="1"/>
  <c r="P36" i="1"/>
  <c r="R36" i="1" s="1"/>
  <c r="L36" i="13" l="1"/>
  <c r="N36" i="13" s="1"/>
  <c r="H37" i="13" a="1"/>
  <c r="P36" i="13"/>
  <c r="R36" i="13" s="1"/>
  <c r="L35" i="7"/>
  <c r="H37" i="9" a="1"/>
  <c r="L36" i="9"/>
  <c r="P36" i="9"/>
  <c r="AA36" i="9" s="1"/>
  <c r="AC36" i="9" s="1"/>
  <c r="P36" i="7"/>
  <c r="R36" i="7" s="1"/>
  <c r="H37" i="7" a="1"/>
  <c r="T36" i="7"/>
  <c r="V36" i="7" s="1"/>
  <c r="H37" i="1"/>
  <c r="Q37" i="1"/>
  <c r="M37" i="1"/>
  <c r="M37" i="13" l="1"/>
  <c r="H37" i="13"/>
  <c r="Q37" i="13"/>
  <c r="N36" i="7"/>
  <c r="M36" i="7"/>
  <c r="N36" i="9"/>
  <c r="W36" i="9"/>
  <c r="Y36" i="9" s="1"/>
  <c r="R36" i="9"/>
  <c r="M37" i="9"/>
  <c r="X37" i="9" s="1"/>
  <c r="Q37" i="9"/>
  <c r="AB37" i="9" s="1"/>
  <c r="H37" i="9"/>
  <c r="Q37" i="7"/>
  <c r="H37" i="7"/>
  <c r="U37" i="7"/>
  <c r="H38" i="1" a="1"/>
  <c r="P37" i="1"/>
  <c r="R37" i="1" s="1"/>
  <c r="L37" i="1"/>
  <c r="N37" i="1" s="1"/>
  <c r="H38" i="13" l="1" a="1"/>
  <c r="L37" i="13"/>
  <c r="N37" i="13" s="1"/>
  <c r="P37" i="13"/>
  <c r="R37" i="13" s="1"/>
  <c r="L36" i="7"/>
  <c r="H38" i="9" a="1"/>
  <c r="P37" i="9"/>
  <c r="AA37" i="9" s="1"/>
  <c r="AC37" i="9" s="1"/>
  <c r="L37" i="9"/>
  <c r="P37" i="7"/>
  <c r="R37" i="7" s="1"/>
  <c r="H38" i="7" a="1"/>
  <c r="T37" i="7"/>
  <c r="V37" i="7" s="1"/>
  <c r="H38" i="1"/>
  <c r="Q38" i="1"/>
  <c r="M38" i="1"/>
  <c r="H38" i="13" l="1"/>
  <c r="Q38" i="13"/>
  <c r="M38" i="13"/>
  <c r="M37" i="7"/>
  <c r="N37" i="7"/>
  <c r="N37" i="9"/>
  <c r="W37" i="9"/>
  <c r="Y37" i="9" s="1"/>
  <c r="R37" i="9"/>
  <c r="Q38" i="9"/>
  <c r="AB38" i="9" s="1"/>
  <c r="H38" i="9"/>
  <c r="M38" i="9"/>
  <c r="X38" i="9" s="1"/>
  <c r="H38" i="7"/>
  <c r="U38" i="7"/>
  <c r="Q38" i="7"/>
  <c r="H39" i="1" a="1"/>
  <c r="P38" i="1"/>
  <c r="R38" i="1" s="1"/>
  <c r="L38" i="1"/>
  <c r="N38" i="1" s="1"/>
  <c r="L38" i="13" l="1"/>
  <c r="N38" i="13" s="1"/>
  <c r="H39" i="13" a="1"/>
  <c r="P38" i="13"/>
  <c r="R38" i="13" s="1"/>
  <c r="L37" i="7"/>
  <c r="L38" i="9"/>
  <c r="H39" i="9" a="1"/>
  <c r="P38" i="9"/>
  <c r="AA38" i="9" s="1"/>
  <c r="AC38" i="9" s="1"/>
  <c r="P38" i="7"/>
  <c r="R38" i="7" s="1"/>
  <c r="H39" i="7" a="1"/>
  <c r="T38" i="7"/>
  <c r="V38" i="7" s="1"/>
  <c r="H39" i="1"/>
  <c r="M39" i="1"/>
  <c r="Q39" i="1"/>
  <c r="H39" i="13" l="1"/>
  <c r="Q39" i="13"/>
  <c r="M39" i="13"/>
  <c r="M38" i="7"/>
  <c r="N38" i="7"/>
  <c r="N38" i="9"/>
  <c r="W38" i="9"/>
  <c r="Y38" i="9" s="1"/>
  <c r="R38" i="9"/>
  <c r="H39" i="9"/>
  <c r="Q39" i="9"/>
  <c r="AB39" i="9" s="1"/>
  <c r="M39" i="9"/>
  <c r="X39" i="9" s="1"/>
  <c r="H39" i="7"/>
  <c r="U39" i="7"/>
  <c r="Q39" i="7"/>
  <c r="H40" i="1" a="1"/>
  <c r="L39" i="1"/>
  <c r="N39" i="1" s="1"/>
  <c r="P39" i="1"/>
  <c r="R39" i="1" s="1"/>
  <c r="H40" i="13" l="1" a="1"/>
  <c r="P39" i="13"/>
  <c r="R39" i="13" s="1"/>
  <c r="L39" i="13"/>
  <c r="N39" i="13" s="1"/>
  <c r="L38" i="7"/>
  <c r="H40" i="9" a="1"/>
  <c r="P39" i="9"/>
  <c r="AA39" i="9" s="1"/>
  <c r="AC39" i="9" s="1"/>
  <c r="L39" i="9"/>
  <c r="H40" i="7" a="1"/>
  <c r="T39" i="7"/>
  <c r="V39" i="7" s="1"/>
  <c r="P39" i="7"/>
  <c r="R39" i="7" s="1"/>
  <c r="H40" i="1"/>
  <c r="Q40" i="1"/>
  <c r="M40" i="1"/>
  <c r="Q40" i="13" l="1"/>
  <c r="M40" i="13"/>
  <c r="H40" i="13"/>
  <c r="M39" i="7"/>
  <c r="N39" i="7"/>
  <c r="N39" i="9"/>
  <c r="W39" i="9"/>
  <c r="Y39" i="9" s="1"/>
  <c r="R39" i="9"/>
  <c r="Q40" i="9"/>
  <c r="AB40" i="9" s="1"/>
  <c r="M40" i="9"/>
  <c r="X40" i="9" s="1"/>
  <c r="H40" i="9"/>
  <c r="U40" i="7"/>
  <c r="Q40" i="7"/>
  <c r="H40" i="7"/>
  <c r="H41" i="1" a="1"/>
  <c r="P40" i="1"/>
  <c r="R40" i="1" s="1"/>
  <c r="L40" i="1"/>
  <c r="N40" i="1" s="1"/>
  <c r="P40" i="13" l="1"/>
  <c r="R40" i="13" s="1"/>
  <c r="L40" i="13"/>
  <c r="N40" i="13" s="1"/>
  <c r="H41" i="13" a="1"/>
  <c r="L39" i="7"/>
  <c r="P40" i="9"/>
  <c r="AA40" i="9" s="1"/>
  <c r="AC40" i="9" s="1"/>
  <c r="L40" i="9"/>
  <c r="H41" i="9" a="1"/>
  <c r="T40" i="7"/>
  <c r="V40" i="7" s="1"/>
  <c r="H41" i="7" a="1"/>
  <c r="P40" i="7"/>
  <c r="R40" i="7" s="1"/>
  <c r="H41" i="1"/>
  <c r="Q41" i="1"/>
  <c r="M41" i="1"/>
  <c r="Q41" i="13" l="1"/>
  <c r="M41" i="13"/>
  <c r="H41" i="13"/>
  <c r="M40" i="7"/>
  <c r="N40" i="7"/>
  <c r="N40" i="9"/>
  <c r="W40" i="9"/>
  <c r="Y40" i="9" s="1"/>
  <c r="R40" i="9"/>
  <c r="Q41" i="9"/>
  <c r="AB41" i="9" s="1"/>
  <c r="M41" i="9"/>
  <c r="X41" i="9" s="1"/>
  <c r="H41" i="9"/>
  <c r="U41" i="7"/>
  <c r="Q41" i="7"/>
  <c r="H41" i="7"/>
  <c r="H42" i="1" a="1"/>
  <c r="P41" i="1"/>
  <c r="R41" i="1" s="1"/>
  <c r="L41" i="1"/>
  <c r="N41" i="1" s="1"/>
  <c r="P41" i="13" l="1"/>
  <c r="R41" i="13" s="1"/>
  <c r="L41" i="13"/>
  <c r="N41" i="13" s="1"/>
  <c r="H42" i="13" a="1"/>
  <c r="L40" i="7"/>
  <c r="P41" i="9"/>
  <c r="AA41" i="9" s="1"/>
  <c r="AC41" i="9" s="1"/>
  <c r="L41" i="9"/>
  <c r="H42" i="9" a="1"/>
  <c r="T41" i="7"/>
  <c r="V41" i="7" s="1"/>
  <c r="P41" i="7"/>
  <c r="R41" i="7" s="1"/>
  <c r="H42" i="7" a="1"/>
  <c r="H42" i="1"/>
  <c r="M42" i="1"/>
  <c r="Q42" i="1"/>
  <c r="Q42" i="13" l="1"/>
  <c r="H42" i="13"/>
  <c r="M42" i="13"/>
  <c r="M41" i="7"/>
  <c r="N41" i="7"/>
  <c r="N41" i="9"/>
  <c r="W41" i="9"/>
  <c r="Y41" i="9" s="1"/>
  <c r="R41" i="9"/>
  <c r="Q42" i="9"/>
  <c r="AB42" i="9" s="1"/>
  <c r="M42" i="9"/>
  <c r="X42" i="9" s="1"/>
  <c r="H42" i="9"/>
  <c r="U42" i="7"/>
  <c r="Q42" i="7"/>
  <c r="H42" i="7"/>
  <c r="H43" i="1" a="1"/>
  <c r="L42" i="1"/>
  <c r="N42" i="1" s="1"/>
  <c r="P42" i="1"/>
  <c r="R42" i="1" s="1"/>
  <c r="P42" i="13" l="1"/>
  <c r="R42" i="13" s="1"/>
  <c r="L42" i="13"/>
  <c r="N42" i="13" s="1"/>
  <c r="H43" i="13" a="1"/>
  <c r="L41" i="7"/>
  <c r="P42" i="9"/>
  <c r="AA42" i="9" s="1"/>
  <c r="AC42" i="9" s="1"/>
  <c r="L42" i="9"/>
  <c r="H43" i="9" a="1"/>
  <c r="T42" i="7"/>
  <c r="V42" i="7" s="1"/>
  <c r="P42" i="7"/>
  <c r="R42" i="7" s="1"/>
  <c r="H43" i="7" a="1"/>
  <c r="U45" i="3"/>
  <c r="Y45" i="3"/>
  <c r="H43" i="1"/>
  <c r="Q43" i="1"/>
  <c r="Q45" i="1" s="1"/>
  <c r="M43" i="1"/>
  <c r="M45" i="1" s="1"/>
  <c r="M43" i="13" l="1"/>
  <c r="M45" i="13" s="1"/>
  <c r="H43" i="13"/>
  <c r="Q43" i="13"/>
  <c r="Q45" i="13" s="1"/>
  <c r="M43" i="7"/>
  <c r="N43" i="7"/>
  <c r="M42" i="7"/>
  <c r="N42" i="7"/>
  <c r="N42" i="9"/>
  <c r="W42" i="9"/>
  <c r="Y42" i="9" s="1"/>
  <c r="R42" i="9"/>
  <c r="M43" i="9"/>
  <c r="H43" i="9"/>
  <c r="Q43" i="9"/>
  <c r="AB43" i="9" s="1"/>
  <c r="AB45" i="9" s="1"/>
  <c r="Q43" i="7"/>
  <c r="Q45" i="7" s="1"/>
  <c r="H43" i="7"/>
  <c r="U43" i="7"/>
  <c r="U45" i="7" s="1"/>
  <c r="P43" i="1"/>
  <c r="L43" i="1"/>
  <c r="P43" i="13" l="1"/>
  <c r="L43" i="13"/>
  <c r="L43" i="7"/>
  <c r="L42" i="7"/>
  <c r="M45" i="9"/>
  <c r="X43" i="9"/>
  <c r="X45" i="9" s="1"/>
  <c r="Q45" i="9"/>
  <c r="P43" i="9"/>
  <c r="AA43" i="9" s="1"/>
  <c r="L43" i="9"/>
  <c r="W43" i="9" s="1"/>
  <c r="T43" i="7"/>
  <c r="P43" i="7"/>
  <c r="N43" i="1"/>
  <c r="N45" i="1" s="1"/>
  <c r="L45" i="1"/>
  <c r="R43" i="1"/>
  <c r="R45" i="1" s="1"/>
  <c r="P45" i="1"/>
  <c r="V45" i="3"/>
  <c r="T45" i="3"/>
  <c r="Z45" i="3"/>
  <c r="X45" i="3"/>
  <c r="N43" i="13" l="1"/>
  <c r="N45" i="13" s="1"/>
  <c r="I5" i="14" s="1"/>
  <c r="L45" i="13"/>
  <c r="R43" i="13"/>
  <c r="R45" i="13" s="1"/>
  <c r="J5" i="14" s="1"/>
  <c r="P45" i="13"/>
  <c r="Y43" i="9"/>
  <c r="Y45" i="9" s="1"/>
  <c r="W45" i="9"/>
  <c r="AC43" i="9"/>
  <c r="AC45" i="9" s="1"/>
  <c r="AA45" i="9"/>
  <c r="N43" i="9"/>
  <c r="N45" i="9" s="1"/>
  <c r="L45" i="9"/>
  <c r="R43" i="9"/>
  <c r="R45" i="9" s="1"/>
  <c r="P45" i="9"/>
  <c r="R43" i="7"/>
  <c r="R45" i="7" s="1"/>
  <c r="P45" i="7"/>
  <c r="V43" i="7"/>
  <c r="V45" i="7" s="1"/>
  <c r="T4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<sst xmlns="http://schemas.openxmlformats.org/spreadsheetml/2006/main" count="282" uniqueCount="92">
  <si>
    <t xml:space="preserve">Transition Matrix </t>
  </si>
  <si>
    <t xml:space="preserve">Healthy </t>
  </si>
  <si>
    <t xml:space="preserve">Disease </t>
  </si>
  <si>
    <t>Dead</t>
  </si>
  <si>
    <t>Diseased</t>
  </si>
  <si>
    <t>Payoffs</t>
  </si>
  <si>
    <t xml:space="preserve">State </t>
  </si>
  <si>
    <t>Costs</t>
  </si>
  <si>
    <t>QALYs</t>
  </si>
  <si>
    <t>Cycle</t>
  </si>
  <si>
    <t>State Membership</t>
  </si>
  <si>
    <t>Healthy</t>
  </si>
  <si>
    <t xml:space="preserve">Costs </t>
  </si>
  <si>
    <t>Total</t>
  </si>
  <si>
    <t xml:space="preserve">(Total Cost) </t>
  </si>
  <si>
    <t>(QALYs Gained)</t>
  </si>
  <si>
    <t xml:space="preserve">James Butters (Illness-Death Markov Model) </t>
  </si>
  <si>
    <t>(13th May 2026)</t>
  </si>
  <si>
    <t>#</t>
  </si>
  <si>
    <t>qx</t>
  </si>
  <si>
    <t>0.04+qx</t>
  </si>
  <si>
    <t xml:space="preserve">James Butters (Time-Varying Probabilities and Payoffs Markov Model) </t>
  </si>
  <si>
    <t xml:space="preserve">Diseased </t>
  </si>
  <si>
    <t>Time Varying Quantities</t>
  </si>
  <si>
    <t>Cost_H</t>
  </si>
  <si>
    <t>Cost_D</t>
  </si>
  <si>
    <t>QALY_D</t>
  </si>
  <si>
    <t xml:space="preserve">QALY_H </t>
  </si>
  <si>
    <t>https://bnf.nice.org.uk</t>
  </si>
  <si>
    <t>(NICE DATA)</t>
  </si>
  <si>
    <t xml:space="preserve">James Butters (Markov cohort simulation - Tunnel states) </t>
  </si>
  <si>
    <t>qs</t>
  </si>
  <si>
    <t>1-qs</t>
  </si>
  <si>
    <t>Payoff</t>
  </si>
  <si>
    <t>State</t>
  </si>
  <si>
    <t>Cost</t>
  </si>
  <si>
    <t>QALY</t>
  </si>
  <si>
    <t>Tunnel states</t>
  </si>
  <si>
    <t xml:space="preserve">Tunnel </t>
  </si>
  <si>
    <t>Diseased 1</t>
  </si>
  <si>
    <t xml:space="preserve">Diseased 2 </t>
  </si>
  <si>
    <t xml:space="preserve">Diseased 3 </t>
  </si>
  <si>
    <t>Diseased1</t>
  </si>
  <si>
    <t>Diseased2</t>
  </si>
  <si>
    <t>Diseased3+</t>
  </si>
  <si>
    <t>Check</t>
  </si>
  <si>
    <t>Life Cycles</t>
  </si>
  <si>
    <t xml:space="preserve">James Butters (Life Table - Markov Models) </t>
  </si>
  <si>
    <t xml:space="preserve">Discounted Costs </t>
  </si>
  <si>
    <t>Discounted QALYs</t>
  </si>
  <si>
    <t xml:space="preserve">Undiscounted Costs </t>
  </si>
  <si>
    <t>Undiscounted QALYs</t>
  </si>
  <si>
    <t>Discount Rates</t>
  </si>
  <si>
    <t>Discount Factor</t>
  </si>
  <si>
    <t xml:space="preserve">(Total Cost Discounted) </t>
  </si>
  <si>
    <t>(QALYs Gained Discounted)</t>
  </si>
  <si>
    <t xml:space="preserve">James Butters (Discounting Markov Model) </t>
  </si>
  <si>
    <t>Life Value</t>
  </si>
  <si>
    <t xml:space="preserve">Name </t>
  </si>
  <si>
    <t>Description</t>
  </si>
  <si>
    <t>Source</t>
  </si>
  <si>
    <t>Deterministic</t>
  </si>
  <si>
    <t>Probabilistic</t>
  </si>
  <si>
    <t>p_healthy_diseased</t>
  </si>
  <si>
    <t>p_healthy_dead</t>
  </si>
  <si>
    <t>p_diseased_dead</t>
  </si>
  <si>
    <t>PSA</t>
  </si>
  <si>
    <t xml:space="preserve">James Butters (PSA Formatted) </t>
  </si>
  <si>
    <t xml:space="preserve">James Butters (PSA Parameters ) </t>
  </si>
  <si>
    <t>c_healthy</t>
  </si>
  <si>
    <t>c_diseased</t>
  </si>
  <si>
    <t xml:space="preserve">James Butters (PSA Control ) </t>
  </si>
  <si>
    <t>u_healty</t>
  </si>
  <si>
    <t>u_diseased</t>
  </si>
  <si>
    <t xml:space="preserve">QALYs from being healthy </t>
  </si>
  <si>
    <t xml:space="preserve">QALYS from being diseased </t>
  </si>
  <si>
    <t xml:space="preserve">Cost of being Healthy </t>
  </si>
  <si>
    <t>Cost of being Diseased</t>
  </si>
  <si>
    <t>Transition probability of healthy to diseased</t>
  </si>
  <si>
    <t>Transition probability of healthy to dead</t>
  </si>
  <si>
    <t>Transition probability of diseased to dead</t>
  </si>
  <si>
    <t xml:space="preserve">PSA Iteration </t>
  </si>
  <si>
    <t>Parameter</t>
  </si>
  <si>
    <t xml:space="preserve">James Butters (PSA Results) </t>
  </si>
  <si>
    <t xml:space="preserve">c_healthy </t>
  </si>
  <si>
    <t>c_disease</t>
  </si>
  <si>
    <t xml:space="preserve">u_healthy </t>
  </si>
  <si>
    <t xml:space="preserve">Live -&gt; </t>
  </si>
  <si>
    <t>p_disease_dead</t>
  </si>
  <si>
    <t>Results</t>
  </si>
  <si>
    <t>Total Costs</t>
  </si>
  <si>
    <t>Total QALYs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</si>
</sst>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72" formatCode="0.000"/>
  </numFmts>
  <fonts count="11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0"/>
      <name val="Aptos Narrow"/>
      <scheme val="minor"/>
    </font>
    <font>
      <b/>
      <i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i/>
      <u/>
      <sz val="12"/>
      <color theme="10"/>
      <name val="Aptos Narrow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04861"/>
        <bgColor rgb="FF000000"/>
      </patternFill>
    </fill>
    <fill>
      <patternFill patternType="solid">
        <fgColor theme="3" tint="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left"/>
    </xf>
    <xf numFmtId="0" fontId="1" fillId="3" borderId="4" xfId="0" applyFont="1" applyFill="1" applyBorder="1"/>
    <xf numFmtId="0" fontId="0" fillId="5" borderId="10" xfId="0" applyFill="1" applyBorder="1"/>
    <xf numFmtId="0" fontId="2" fillId="5" borderId="12" xfId="0" applyFont="1" applyFill="1" applyBorder="1" applyAlignment="1">
      <alignment horizontal="left"/>
    </xf>
    <xf numFmtId="0" fontId="0" fillId="5" borderId="0" xfId="0" applyFill="1"/>
    <xf numFmtId="0" fontId="0" fillId="5" borderId="6" xfId="0" applyFill="1" applyBorder="1"/>
    <xf numFmtId="0" fontId="2" fillId="5" borderId="13" xfId="0" applyFont="1" applyFill="1" applyBorder="1" applyAlignment="1">
      <alignment horizontal="left"/>
    </xf>
    <xf numFmtId="0" fontId="0" fillId="5" borderId="7" xfId="0" applyFill="1" applyBorder="1"/>
    <xf numFmtId="0" fontId="0" fillId="5" borderId="8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0" xfId="0" applyFont="1" applyFill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1" fillId="3" borderId="14" xfId="0" applyFont="1" applyFill="1" applyBorder="1"/>
    <xf numFmtId="0" fontId="1" fillId="3" borderId="16" xfId="0" applyFont="1" applyFill="1" applyBorder="1"/>
    <xf numFmtId="0" fontId="1" fillId="3" borderId="15" xfId="0" applyFont="1" applyFill="1" applyBorder="1" applyAlignment="1">
      <alignment horizontal="left"/>
    </xf>
    <xf numFmtId="0" fontId="1" fillId="3" borderId="16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7" xfId="0" applyFont="1" applyFill="1" applyBorder="1"/>
    <xf numFmtId="0" fontId="1" fillId="3" borderId="18" xfId="0" applyFont="1" applyFill="1" applyBorder="1"/>
    <xf numFmtId="0" fontId="3" fillId="0" borderId="0" xfId="0" applyFont="1"/>
    <xf numFmtId="0" fontId="1" fillId="2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7" borderId="14" xfId="0" applyFill="1" applyBorder="1" applyAlignment="1">
      <alignment horizontal="left"/>
    </xf>
    <xf numFmtId="0" fontId="0" fillId="5" borderId="21" xfId="0" applyFill="1" applyBorder="1"/>
    <xf numFmtId="0" fontId="0" fillId="5" borderId="22" xfId="0" applyFill="1" applyBorder="1"/>
    <xf numFmtId="164" fontId="0" fillId="5" borderId="0" xfId="0" applyNumberFormat="1" applyFill="1"/>
    <xf numFmtId="0" fontId="0" fillId="7" borderId="0" xfId="0" applyFill="1"/>
    <xf numFmtId="0" fontId="0" fillId="6" borderId="0" xfId="0" applyFill="1"/>
    <xf numFmtId="0" fontId="4" fillId="6" borderId="0" xfId="0" applyFont="1" applyFill="1"/>
    <xf numFmtId="0" fontId="0" fillId="3" borderId="20" xfId="0" applyFill="1" applyBorder="1"/>
    <xf numFmtId="0" fontId="0" fillId="3" borderId="21" xfId="0" applyFill="1" applyBorder="1"/>
    <xf numFmtId="0" fontId="1" fillId="3" borderId="21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3" borderId="21" xfId="0" applyFont="1" applyFill="1" applyBorder="1"/>
    <xf numFmtId="0" fontId="1" fillId="3" borderId="19" xfId="0" applyFont="1" applyFill="1" applyBorder="1"/>
    <xf numFmtId="0" fontId="1" fillId="3" borderId="7" xfId="0" applyFont="1" applyFill="1" applyBorder="1"/>
    <xf numFmtId="0" fontId="0" fillId="3" borderId="8" xfId="0" applyFill="1" applyBorder="1"/>
    <xf numFmtId="0" fontId="1" fillId="3" borderId="13" xfId="0" applyFont="1" applyFill="1" applyBorder="1"/>
    <xf numFmtId="0" fontId="2" fillId="5" borderId="0" xfId="0" applyFont="1" applyFill="1" applyAlignment="1">
      <alignment horizontal="left"/>
    </xf>
    <xf numFmtId="0" fontId="2" fillId="5" borderId="7" xfId="0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2" fontId="2" fillId="5" borderId="0" xfId="0" applyNumberFormat="1" applyFont="1" applyFill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/>
    <xf numFmtId="2" fontId="2" fillId="5" borderId="7" xfId="0" applyNumberFormat="1" applyFont="1" applyFill="1" applyBorder="1" applyAlignment="1">
      <alignment horizontal="left"/>
    </xf>
    <xf numFmtId="0" fontId="6" fillId="6" borderId="0" xfId="1" applyFont="1" applyFill="1"/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/>
    <xf numFmtId="164" fontId="0" fillId="5" borderId="20" xfId="0" applyNumberFormat="1" applyFill="1" applyBorder="1"/>
    <xf numFmtId="164" fontId="0" fillId="5" borderId="21" xfId="0" applyNumberFormat="1" applyFill="1" applyBorder="1"/>
    <xf numFmtId="0" fontId="0" fillId="7" borderId="2" xfId="0" applyFill="1" applyBorder="1"/>
    <xf numFmtId="0" fontId="0" fillId="7" borderId="20" xfId="0" applyFill="1" applyBorder="1"/>
    <xf numFmtId="164" fontId="0" fillId="5" borderId="10" xfId="0" applyNumberFormat="1" applyFill="1" applyBorder="1"/>
    <xf numFmtId="0" fontId="0" fillId="0" borderId="0" xfId="0" applyAlignment="1">
      <alignment horizontal="left"/>
    </xf>
    <xf numFmtId="0" fontId="1" fillId="2" borderId="9" xfId="0" applyFont="1" applyFill="1" applyBorder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8" borderId="9" xfId="0" applyFont="1" applyFill="1" applyBorder="1" applyAlignment="1">
      <alignment horizontal="left"/>
    </xf>
    <xf numFmtId="0" fontId="7" fillId="8" borderId="11" xfId="0" applyFont="1" applyFill="1" applyBorder="1" applyAlignment="1">
      <alignment horizontal="left"/>
    </xf>
    <xf numFmtId="0" fontId="9" fillId="5" borderId="6" xfId="0" applyFont="1" applyFill="1" applyBorder="1" applyAlignment="1">
      <alignment horizontal="left"/>
    </xf>
    <xf numFmtId="0" fontId="9" fillId="5" borderId="8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7" borderId="13" xfId="0" applyFill="1" applyBorder="1"/>
    <xf numFmtId="0" fontId="0" fillId="7" borderId="8" xfId="0" applyFill="1" applyBorder="1"/>
    <xf numFmtId="0" fontId="0" fillId="7" borderId="23" xfId="0" applyFill="1" applyBorder="1"/>
    <xf numFmtId="0" fontId="2" fillId="0" borderId="0" xfId="0" applyFont="1"/>
    <xf numFmtId="0" fontId="1" fillId="3" borderId="20" xfId="0" applyFont="1" applyFill="1" applyBorder="1"/>
    <xf numFmtId="9" fontId="2" fillId="5" borderId="6" xfId="0" applyNumberFormat="1" applyFont="1" applyFill="1" applyBorder="1"/>
    <xf numFmtId="9" fontId="2" fillId="4" borderId="8" xfId="0" applyNumberFormat="1" applyFont="1" applyFill="1" applyBorder="1"/>
    <xf numFmtId="0" fontId="1" fillId="0" borderId="0" xfId="0" applyFont="1" applyFill="1"/>
    <xf numFmtId="0" fontId="0" fillId="0" borderId="0" xfId="0" applyFill="1"/>
    <xf numFmtId="0" fontId="1" fillId="2" borderId="12" xfId="0" applyFont="1" applyFill="1" applyBorder="1"/>
    <xf numFmtId="0" fontId="1" fillId="9" borderId="0" xfId="0" applyFont="1" applyFill="1" applyBorder="1"/>
    <xf numFmtId="0" fontId="1" fillId="9" borderId="6" xfId="0" applyFont="1" applyFill="1" applyBorder="1"/>
    <xf numFmtId="0" fontId="1" fillId="2" borderId="13" xfId="0" applyFont="1" applyFill="1" applyBorder="1"/>
    <xf numFmtId="0" fontId="0" fillId="4" borderId="0" xfId="0" applyFill="1" applyBorder="1"/>
    <xf numFmtId="2" fontId="0" fillId="4" borderId="0" xfId="0" applyNumberFormat="1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172" fontId="0" fillId="4" borderId="6" xfId="0" applyNumberFormat="1" applyFill="1" applyBorder="1"/>
    <xf numFmtId="0" fontId="1" fillId="2" borderId="20" xfId="0" applyFont="1" applyFill="1" applyBorder="1"/>
    <xf numFmtId="0" fontId="0" fillId="4" borderId="22" xfId="0" applyFill="1" applyBorder="1"/>
    <xf numFmtId="0" fontId="0" fillId="7" borderId="22" xfId="0" applyFill="1" applyBorder="1"/>
    <xf numFmtId="164" fontId="0" fillId="5" borderId="22" xfId="0" applyNumberFormat="1" applyFill="1" applyBorder="1"/>
    <xf numFmtId="0" fontId="0" fillId="5" borderId="20" xfId="0" applyFill="1" applyBorder="1"/>
    <xf numFmtId="0" fontId="0" fillId="7" borderId="21" xfId="0" applyFill="1" applyBorder="1"/>
    <xf numFmtId="0" fontId="10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bnf.nice.org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0BDA-A8B8-844B-91E2-AE64C193E922}">
  <sheetPr codeName="Sheet1"/>
  <dimension ref="A1:R46"/>
  <sheetViews>
    <sheetView showGridLines="0" tabSelected="1" workbookViewId="0">
      <selection activeCell="B22" sqref="B22"/>
    </sheetView>
  </sheetViews>
  <sheetFormatPr baseColWidth="10" defaultRowHeight="16" x14ac:dyDescent="0.2"/>
  <cols>
    <col min="1" max="1" width="15" bestFit="1" customWidth="1"/>
    <col min="8" max="8" width="9.1640625" customWidth="1"/>
    <col min="11" max="11" width="6.5" customWidth="1"/>
    <col min="12" max="12" width="13.1640625" customWidth="1"/>
    <col min="13" max="13" width="12.83203125" customWidth="1"/>
    <col min="14" max="14" width="12.6640625" customWidth="1"/>
    <col min="15" max="15" width="5.5" customWidth="1"/>
  </cols>
  <sheetData>
    <row r="1" spans="1:18" x14ac:dyDescent="0.2">
      <c r="A1" s="42" t="s">
        <v>16</v>
      </c>
      <c r="B1" s="42"/>
      <c r="C1" s="42"/>
      <c r="D1" s="111"/>
      <c r="E1" s="41"/>
      <c r="F1" s="41"/>
      <c r="G1" s="41"/>
      <c r="H1" s="41"/>
      <c r="I1" s="41"/>
      <c r="J1" s="41"/>
      <c r="K1" s="41"/>
      <c r="L1" s="41"/>
    </row>
    <row r="2" spans="1:18" ht="17" thickBot="1" x14ac:dyDescent="0.25">
      <c r="A2" s="42" t="s">
        <v>17</v>
      </c>
      <c r="B2" s="42" t="s">
        <v>29</v>
      </c>
      <c r="C2" s="64" t="s">
        <v>28</v>
      </c>
      <c r="D2" s="42"/>
      <c r="F2" s="12" t="s">
        <v>9</v>
      </c>
      <c r="G2" s="2"/>
      <c r="H2" s="2" t="s">
        <v>10</v>
      </c>
      <c r="I2" s="2"/>
      <c r="J2" s="1"/>
      <c r="K2" s="1"/>
      <c r="L2" s="12" t="s">
        <v>12</v>
      </c>
      <c r="M2" s="2"/>
      <c r="N2" s="2"/>
      <c r="O2" s="2"/>
      <c r="P2" s="12" t="s">
        <v>8</v>
      </c>
      <c r="Q2" s="2"/>
      <c r="R2" s="2"/>
    </row>
    <row r="3" spans="1:18" ht="17" thickBot="1" x14ac:dyDescent="0.25">
      <c r="A3" s="13" t="s">
        <v>0</v>
      </c>
      <c r="B3" s="1"/>
      <c r="C3" s="1"/>
      <c r="D3" s="1"/>
      <c r="F3" s="43"/>
      <c r="G3" s="44"/>
      <c r="H3" s="45" t="s">
        <v>11</v>
      </c>
      <c r="I3" s="45" t="s">
        <v>4</v>
      </c>
      <c r="J3" s="45" t="s">
        <v>3</v>
      </c>
      <c r="K3" s="45"/>
      <c r="L3" s="45" t="s">
        <v>11</v>
      </c>
      <c r="M3" s="45" t="s">
        <v>4</v>
      </c>
      <c r="N3" s="45" t="s">
        <v>13</v>
      </c>
      <c r="O3" s="45"/>
      <c r="P3" s="45" t="s">
        <v>11</v>
      </c>
      <c r="Q3" s="45" t="s">
        <v>4</v>
      </c>
      <c r="R3" s="46" t="s">
        <v>13</v>
      </c>
    </row>
    <row r="4" spans="1:18" ht="17" thickBot="1" x14ac:dyDescent="0.25">
      <c r="A4" s="36"/>
      <c r="B4" s="26" t="s">
        <v>1</v>
      </c>
      <c r="C4" s="24" t="s">
        <v>2</v>
      </c>
      <c r="D4" s="25" t="s">
        <v>3</v>
      </c>
      <c r="F4" s="6">
        <v>1</v>
      </c>
      <c r="G4" s="7"/>
      <c r="H4" s="7">
        <v>1000</v>
      </c>
      <c r="I4" s="7">
        <v>0</v>
      </c>
      <c r="J4" s="7">
        <v>0</v>
      </c>
      <c r="K4" s="7"/>
      <c r="L4" s="7">
        <f>H4*$B$11</f>
        <v>50000</v>
      </c>
      <c r="M4" s="7">
        <f>I4*$B$12</f>
        <v>0</v>
      </c>
      <c r="N4" s="7">
        <f>SUM(L4:M4)</f>
        <v>50000</v>
      </c>
      <c r="O4" s="7"/>
      <c r="P4" s="7">
        <f>H4*$C$11</f>
        <v>900</v>
      </c>
      <c r="Q4" s="7">
        <f>I4*$C$12</f>
        <v>0</v>
      </c>
      <c r="R4" s="8">
        <f>SUM(P4:Q4)</f>
        <v>900</v>
      </c>
    </row>
    <row r="5" spans="1:18" x14ac:dyDescent="0.2">
      <c r="A5" s="27" t="s">
        <v>1</v>
      </c>
      <c r="B5" s="14">
        <v>0.96</v>
      </c>
      <c r="C5" s="14">
        <v>0.03</v>
      </c>
      <c r="D5" s="15">
        <v>0.01</v>
      </c>
      <c r="F5" s="6">
        <f>F4+1</f>
        <v>2</v>
      </c>
      <c r="G5" s="7"/>
      <c r="H5" s="7" cm="1">
        <f t="array" ref="H5:J5">MMULT(H4:J4,$B$5:$D$7)</f>
        <v>960</v>
      </c>
      <c r="I5" s="7">
        <v>30</v>
      </c>
      <c r="J5" s="7">
        <v>10</v>
      </c>
      <c r="K5" s="7"/>
      <c r="L5" s="7">
        <f t="shared" ref="L5:L43" si="0">H5*$B$11</f>
        <v>48000</v>
      </c>
      <c r="M5" s="7">
        <f t="shared" ref="M5:M43" si="1">I5*$B$12</f>
        <v>30000</v>
      </c>
      <c r="N5" s="7">
        <f t="shared" ref="N5:N43" si="2">SUM(L5:M5)</f>
        <v>78000</v>
      </c>
      <c r="O5" s="7"/>
      <c r="P5" s="7">
        <f t="shared" ref="P5:P33" si="3">H5*$C$11</f>
        <v>864</v>
      </c>
      <c r="Q5" s="7">
        <f t="shared" ref="Q5:Q33" si="4">I5*$C$12</f>
        <v>18</v>
      </c>
      <c r="R5" s="8">
        <f t="shared" ref="R5:R33" si="5">SUM(P5:Q5)</f>
        <v>882</v>
      </c>
    </row>
    <row r="6" spans="1:18" x14ac:dyDescent="0.2">
      <c r="A6" s="28" t="s">
        <v>4</v>
      </c>
      <c r="B6" s="14">
        <v>0</v>
      </c>
      <c r="C6" s="14">
        <v>0.95</v>
      </c>
      <c r="D6" s="15">
        <v>0.05</v>
      </c>
      <c r="F6" s="6">
        <f t="shared" ref="F6:F43" si="6">F5+1</f>
        <v>3</v>
      </c>
      <c r="G6" s="7"/>
      <c r="H6" s="7" cm="1">
        <f t="array" ref="H6:J6">MMULT(H5:J5,$B$5:$D$7)</f>
        <v>921.59999999999991</v>
      </c>
      <c r="I6" s="7">
        <v>57.3</v>
      </c>
      <c r="J6" s="7">
        <v>21.1</v>
      </c>
      <c r="K6" s="7"/>
      <c r="L6" s="7">
        <f t="shared" si="0"/>
        <v>46079.999999999993</v>
      </c>
      <c r="M6" s="7">
        <f t="shared" si="1"/>
        <v>57300</v>
      </c>
      <c r="N6" s="7">
        <f t="shared" si="2"/>
        <v>103380</v>
      </c>
      <c r="O6" s="7"/>
      <c r="P6" s="7">
        <f t="shared" si="3"/>
        <v>829.43999999999994</v>
      </c>
      <c r="Q6" s="7">
        <f t="shared" si="4"/>
        <v>34.379999999999995</v>
      </c>
      <c r="R6" s="8">
        <f t="shared" si="5"/>
        <v>863.81999999999994</v>
      </c>
    </row>
    <row r="7" spans="1:18" ht="17" thickBot="1" x14ac:dyDescent="0.25">
      <c r="A7" s="29" t="s">
        <v>3</v>
      </c>
      <c r="B7" s="16">
        <v>0</v>
      </c>
      <c r="C7" s="16">
        <v>0</v>
      </c>
      <c r="D7" s="17">
        <v>1</v>
      </c>
      <c r="F7" s="6">
        <f t="shared" si="6"/>
        <v>4</v>
      </c>
      <c r="G7" s="7"/>
      <c r="H7" s="7" cm="1">
        <f t="array" ref="H7:J7">MMULT(H6:J6,$B$5:$D$7)</f>
        <v>884.73599999999988</v>
      </c>
      <c r="I7" s="7">
        <v>82.082999999999998</v>
      </c>
      <c r="J7" s="7">
        <v>33.180999999999997</v>
      </c>
      <c r="K7" s="7"/>
      <c r="L7" s="7">
        <f t="shared" si="0"/>
        <v>44236.799999999996</v>
      </c>
      <c r="M7" s="7">
        <f t="shared" si="1"/>
        <v>82083</v>
      </c>
      <c r="N7" s="7">
        <f t="shared" si="2"/>
        <v>126319.79999999999</v>
      </c>
      <c r="O7" s="7"/>
      <c r="P7" s="7">
        <f t="shared" si="3"/>
        <v>796.26239999999996</v>
      </c>
      <c r="Q7" s="7">
        <f t="shared" si="4"/>
        <v>49.2498</v>
      </c>
      <c r="R7" s="8">
        <f t="shared" si="5"/>
        <v>845.51220000000001</v>
      </c>
    </row>
    <row r="8" spans="1:18" ht="17" thickBot="1" x14ac:dyDescent="0.25">
      <c r="F8" s="6">
        <f t="shared" si="6"/>
        <v>5</v>
      </c>
      <c r="G8" s="7"/>
      <c r="H8" s="7" cm="1">
        <f t="array" ref="H8:J8">MMULT(H7:J7,$B$5:$D$7)</f>
        <v>849.34655999999984</v>
      </c>
      <c r="I8" s="7">
        <v>104.52092999999999</v>
      </c>
      <c r="J8" s="7">
        <v>46.132509999999996</v>
      </c>
      <c r="K8" s="7"/>
      <c r="L8" s="7">
        <f t="shared" si="0"/>
        <v>42467.327999999994</v>
      </c>
      <c r="M8" s="7">
        <f t="shared" si="1"/>
        <v>104520.93</v>
      </c>
      <c r="N8" s="7">
        <f t="shared" si="2"/>
        <v>146988.25799999997</v>
      </c>
      <c r="O8" s="7"/>
      <c r="P8" s="7">
        <f t="shared" si="3"/>
        <v>764.41190399999982</v>
      </c>
      <c r="Q8" s="7">
        <f t="shared" si="4"/>
        <v>62.712557999999994</v>
      </c>
      <c r="R8" s="8">
        <f t="shared" si="5"/>
        <v>827.12446199999977</v>
      </c>
    </row>
    <row r="9" spans="1:18" ht="17" thickBot="1" x14ac:dyDescent="0.25">
      <c r="A9" s="33" t="s">
        <v>5</v>
      </c>
      <c r="B9" s="34"/>
      <c r="C9" s="35"/>
      <c r="F9" s="6">
        <f t="shared" si="6"/>
        <v>6</v>
      </c>
      <c r="G9" s="7"/>
      <c r="H9" s="7" cm="1">
        <f t="array" ref="H9:J9">MMULT(H8:J8,$B$5:$D$7)</f>
        <v>815.37269759999981</v>
      </c>
      <c r="I9" s="7">
        <v>124.77528029999998</v>
      </c>
      <c r="J9" s="7">
        <v>59.852022099999999</v>
      </c>
      <c r="K9" s="7"/>
      <c r="L9" s="7">
        <f t="shared" si="0"/>
        <v>40768.634879999991</v>
      </c>
      <c r="M9" s="7">
        <f t="shared" si="1"/>
        <v>124775.28029999998</v>
      </c>
      <c r="N9" s="7">
        <f t="shared" si="2"/>
        <v>165543.91517999998</v>
      </c>
      <c r="O9" s="7"/>
      <c r="P9" s="7">
        <f t="shared" si="3"/>
        <v>733.83542783999985</v>
      </c>
      <c r="Q9" s="7">
        <f t="shared" si="4"/>
        <v>74.865168179999984</v>
      </c>
      <c r="R9" s="8">
        <f t="shared" si="5"/>
        <v>808.70059601999981</v>
      </c>
    </row>
    <row r="10" spans="1:18" ht="17" thickBot="1" x14ac:dyDescent="0.25">
      <c r="A10" s="22" t="s">
        <v>6</v>
      </c>
      <c r="B10" s="30" t="s">
        <v>7</v>
      </c>
      <c r="C10" s="23" t="s">
        <v>8</v>
      </c>
      <c r="F10" s="6">
        <f t="shared" si="6"/>
        <v>7</v>
      </c>
      <c r="G10" s="7"/>
      <c r="H10" s="7" cm="1">
        <f t="array" ref="H10:J10">MMULT(H9:J9,$B$5:$D$7)</f>
        <v>782.7577896959998</v>
      </c>
      <c r="I10" s="7">
        <v>142.99769721299998</v>
      </c>
      <c r="J10" s="7">
        <v>74.244513091000002</v>
      </c>
      <c r="K10" s="7"/>
      <c r="L10" s="7">
        <f t="shared" si="0"/>
        <v>39137.889484799991</v>
      </c>
      <c r="M10" s="7">
        <f t="shared" si="1"/>
        <v>142997.69721299998</v>
      </c>
      <c r="N10" s="7">
        <f t="shared" si="2"/>
        <v>182135.58669779997</v>
      </c>
      <c r="O10" s="7"/>
      <c r="P10" s="7">
        <f t="shared" si="3"/>
        <v>704.48201072639984</v>
      </c>
      <c r="Q10" s="7">
        <f t="shared" si="4"/>
        <v>85.798618327799986</v>
      </c>
      <c r="R10" s="8">
        <f t="shared" si="5"/>
        <v>790.28062905419984</v>
      </c>
    </row>
    <row r="11" spans="1:18" x14ac:dyDescent="0.2">
      <c r="A11" s="31" t="s">
        <v>1</v>
      </c>
      <c r="B11" s="18">
        <v>50</v>
      </c>
      <c r="C11" s="19">
        <v>0.9</v>
      </c>
      <c r="F11" s="6">
        <f t="shared" si="6"/>
        <v>8</v>
      </c>
      <c r="G11" s="7"/>
      <c r="H11" s="7" cm="1">
        <f t="array" ref="H11:J11">MMULT(H10:J10,$B$5:$D$7)</f>
        <v>751.44747810815977</v>
      </c>
      <c r="I11" s="7">
        <v>159.33054604322996</v>
      </c>
      <c r="J11" s="7">
        <v>89.221975848610001</v>
      </c>
      <c r="K11" s="7"/>
      <c r="L11" s="7">
        <f t="shared" si="0"/>
        <v>37572.373905407985</v>
      </c>
      <c r="M11" s="7">
        <f t="shared" si="1"/>
        <v>159330.54604322996</v>
      </c>
      <c r="N11" s="7">
        <f t="shared" si="2"/>
        <v>196902.91994863795</v>
      </c>
      <c r="O11" s="7"/>
      <c r="P11" s="7">
        <f t="shared" si="3"/>
        <v>676.30273029734383</v>
      </c>
      <c r="Q11" s="7">
        <f t="shared" si="4"/>
        <v>95.598327625937969</v>
      </c>
      <c r="R11" s="8">
        <f t="shared" si="5"/>
        <v>771.90105792328177</v>
      </c>
    </row>
    <row r="12" spans="1:18" ht="17" thickBot="1" x14ac:dyDescent="0.25">
      <c r="A12" s="4" t="s">
        <v>4</v>
      </c>
      <c r="B12" s="20">
        <v>1000</v>
      </c>
      <c r="C12" s="21">
        <v>0.6</v>
      </c>
      <c r="F12" s="6">
        <f t="shared" si="6"/>
        <v>9</v>
      </c>
      <c r="G12" s="7"/>
      <c r="H12" s="7" cm="1">
        <f t="array" ref="H12:J12">MMULT(H11:J11,$B$5:$D$7)</f>
        <v>721.3895789838333</v>
      </c>
      <c r="I12" s="7">
        <v>173.90744308431326</v>
      </c>
      <c r="J12" s="7">
        <v>104.7029779318531</v>
      </c>
      <c r="K12" s="7"/>
      <c r="L12" s="7">
        <f t="shared" si="0"/>
        <v>36069.478949191667</v>
      </c>
      <c r="M12" s="7">
        <f t="shared" si="1"/>
        <v>173907.44308431324</v>
      </c>
      <c r="N12" s="7">
        <f t="shared" si="2"/>
        <v>209976.9220335049</v>
      </c>
      <c r="O12" s="7"/>
      <c r="P12" s="7">
        <f t="shared" si="3"/>
        <v>649.25062108545001</v>
      </c>
      <c r="Q12" s="7">
        <f t="shared" si="4"/>
        <v>104.34446585058795</v>
      </c>
      <c r="R12" s="8">
        <f t="shared" si="5"/>
        <v>753.595086936038</v>
      </c>
    </row>
    <row r="13" spans="1:18" x14ac:dyDescent="0.2">
      <c r="A13" s="32"/>
      <c r="B13" s="32"/>
      <c r="C13" s="32"/>
      <c r="F13" s="6">
        <f t="shared" si="6"/>
        <v>10</v>
      </c>
      <c r="G13" s="7"/>
      <c r="H13" s="7" cm="1">
        <f t="array" ref="H13:J13">MMULT(H12:J12,$B$5:$D$7)</f>
        <v>692.53399582447992</v>
      </c>
      <c r="I13" s="7">
        <v>186.85375829961259</v>
      </c>
      <c r="J13" s="7">
        <v>120.61224587590709</v>
      </c>
      <c r="K13" s="7"/>
      <c r="L13" s="7">
        <f t="shared" si="0"/>
        <v>34626.699791223997</v>
      </c>
      <c r="M13" s="7">
        <f t="shared" si="1"/>
        <v>186853.75829961259</v>
      </c>
      <c r="N13" s="7">
        <f t="shared" si="2"/>
        <v>221480.45809083659</v>
      </c>
      <c r="O13" s="7"/>
      <c r="P13" s="7">
        <f t="shared" si="3"/>
        <v>623.28059624203195</v>
      </c>
      <c r="Q13" s="7">
        <f t="shared" si="4"/>
        <v>112.11225497976756</v>
      </c>
      <c r="R13" s="8">
        <f t="shared" si="5"/>
        <v>735.39285122179945</v>
      </c>
    </row>
    <row r="14" spans="1:18" x14ac:dyDescent="0.2">
      <c r="F14" s="6">
        <f t="shared" si="6"/>
        <v>11</v>
      </c>
      <c r="G14" s="7"/>
      <c r="H14" s="7" cm="1">
        <f t="array" ref="H14:J14">MMULT(H13:J13,$B$5:$D$7)</f>
        <v>664.83263599150075</v>
      </c>
      <c r="I14" s="7">
        <v>198.28709025936635</v>
      </c>
      <c r="J14" s="7">
        <v>136.88027374913253</v>
      </c>
      <c r="K14" s="7"/>
      <c r="L14" s="7">
        <f t="shared" si="0"/>
        <v>33241.631799575036</v>
      </c>
      <c r="M14" s="7">
        <f t="shared" si="1"/>
        <v>198287.09025936635</v>
      </c>
      <c r="N14" s="7">
        <f t="shared" si="2"/>
        <v>231528.72205894138</v>
      </c>
      <c r="O14" s="7"/>
      <c r="P14" s="7">
        <f t="shared" si="3"/>
        <v>598.34937239235069</v>
      </c>
      <c r="Q14" s="7">
        <f t="shared" si="4"/>
        <v>118.97225415561981</v>
      </c>
      <c r="R14" s="8">
        <f t="shared" si="5"/>
        <v>717.32162654797048</v>
      </c>
    </row>
    <row r="15" spans="1:18" x14ac:dyDescent="0.2">
      <c r="F15" s="6">
        <f t="shared" si="6"/>
        <v>12</v>
      </c>
      <c r="G15" s="7"/>
      <c r="H15" s="7" cm="1">
        <f t="array" ref="H15:J15">MMULT(H14:J14,$B$5:$D$7)</f>
        <v>638.23933055184068</v>
      </c>
      <c r="I15" s="7">
        <v>208.31771482614306</v>
      </c>
      <c r="J15" s="7">
        <v>153.44295462201586</v>
      </c>
      <c r="K15" s="7"/>
      <c r="L15" s="7">
        <f t="shared" si="0"/>
        <v>31911.966527592034</v>
      </c>
      <c r="M15" s="7">
        <f t="shared" si="1"/>
        <v>208317.71482614306</v>
      </c>
      <c r="N15" s="7">
        <f t="shared" si="2"/>
        <v>240229.6813537351</v>
      </c>
      <c r="O15" s="7"/>
      <c r="P15" s="7">
        <f t="shared" si="3"/>
        <v>574.41539749665662</v>
      </c>
      <c r="Q15" s="7">
        <f t="shared" si="4"/>
        <v>124.99062889568583</v>
      </c>
      <c r="R15" s="8">
        <f t="shared" si="5"/>
        <v>699.40602639234248</v>
      </c>
    </row>
    <row r="16" spans="1:18" x14ac:dyDescent="0.2">
      <c r="F16" s="6">
        <f t="shared" si="6"/>
        <v>13</v>
      </c>
      <c r="G16" s="7"/>
      <c r="H16" s="7" cm="1">
        <f t="array" ref="H16:J16">MMULT(H15:J15,$B$5:$D$7)</f>
        <v>612.70975732976706</v>
      </c>
      <c r="I16" s="7">
        <v>217.04900900139111</v>
      </c>
      <c r="J16" s="7">
        <v>170.24123366884143</v>
      </c>
      <c r="K16" s="7"/>
      <c r="L16" s="7">
        <f t="shared" si="0"/>
        <v>30635.487866488354</v>
      </c>
      <c r="M16" s="7">
        <f t="shared" si="1"/>
        <v>217049.00900139112</v>
      </c>
      <c r="N16" s="7">
        <f t="shared" si="2"/>
        <v>247684.49686787947</v>
      </c>
      <c r="O16" s="7"/>
      <c r="P16" s="7">
        <f t="shared" si="3"/>
        <v>551.43878159679036</v>
      </c>
      <c r="Q16" s="7">
        <f t="shared" si="4"/>
        <v>130.22940540083465</v>
      </c>
      <c r="R16" s="8">
        <f t="shared" si="5"/>
        <v>681.66818699762507</v>
      </c>
    </row>
    <row r="17" spans="6:18" x14ac:dyDescent="0.2">
      <c r="F17" s="6">
        <f t="shared" si="6"/>
        <v>14</v>
      </c>
      <c r="G17" s="7"/>
      <c r="H17" s="7" cm="1">
        <f t="array" ref="H17:J17">MMULT(H16:J16,$B$5:$D$7)</f>
        <v>588.20136703657636</v>
      </c>
      <c r="I17" s="7">
        <v>224.57785127121457</v>
      </c>
      <c r="J17" s="7">
        <v>187.22078169220865</v>
      </c>
      <c r="K17" s="7"/>
      <c r="L17" s="7">
        <f t="shared" si="0"/>
        <v>29410.068351828817</v>
      </c>
      <c r="M17" s="7">
        <f t="shared" si="1"/>
        <v>224577.85127121457</v>
      </c>
      <c r="N17" s="7">
        <f t="shared" si="2"/>
        <v>253987.91962304339</v>
      </c>
      <c r="O17" s="7"/>
      <c r="P17" s="7">
        <f t="shared" si="3"/>
        <v>529.38123033291879</v>
      </c>
      <c r="Q17" s="7">
        <f t="shared" si="4"/>
        <v>134.74671076272872</v>
      </c>
      <c r="R17" s="8">
        <f t="shared" si="5"/>
        <v>664.12794109564754</v>
      </c>
    </row>
    <row r="18" spans="6:18" x14ac:dyDescent="0.2">
      <c r="F18" s="6">
        <f t="shared" si="6"/>
        <v>15</v>
      </c>
      <c r="G18" s="7"/>
      <c r="H18" s="7" cm="1">
        <f t="array" ref="H18:J18">MMULT(H17:J17,$B$5:$D$7)</f>
        <v>564.67331235511324</v>
      </c>
      <c r="I18" s="7">
        <v>230.9949997187511</v>
      </c>
      <c r="J18" s="7">
        <v>204.33168792613515</v>
      </c>
      <c r="K18" s="7"/>
      <c r="L18" s="7">
        <f t="shared" si="0"/>
        <v>28233.665617755662</v>
      </c>
      <c r="M18" s="7">
        <f t="shared" si="1"/>
        <v>230994.99971875109</v>
      </c>
      <c r="N18" s="7">
        <f t="shared" si="2"/>
        <v>259228.66533650676</v>
      </c>
      <c r="O18" s="7"/>
      <c r="P18" s="7">
        <f t="shared" si="3"/>
        <v>508.20598111960192</v>
      </c>
      <c r="Q18" s="7">
        <f t="shared" si="4"/>
        <v>138.59699983125066</v>
      </c>
      <c r="R18" s="8">
        <f t="shared" si="5"/>
        <v>646.80298095085254</v>
      </c>
    </row>
    <row r="19" spans="6:18" x14ac:dyDescent="0.2">
      <c r="F19" s="6">
        <f t="shared" si="6"/>
        <v>16</v>
      </c>
      <c r="G19" s="7"/>
      <c r="H19" s="7" cm="1">
        <f t="array" ref="H19:J19">MMULT(H18:J18,$B$5:$D$7)</f>
        <v>542.08637986090866</v>
      </c>
      <c r="I19" s="7">
        <v>236.38544910346695</v>
      </c>
      <c r="J19" s="7">
        <v>221.52817103562384</v>
      </c>
      <c r="K19" s="7"/>
      <c r="L19" s="7">
        <f t="shared" si="0"/>
        <v>27104.318993045432</v>
      </c>
      <c r="M19" s="7">
        <f t="shared" si="1"/>
        <v>236385.44910346696</v>
      </c>
      <c r="N19" s="7">
        <f t="shared" si="2"/>
        <v>263489.76809651242</v>
      </c>
      <c r="O19" s="7"/>
      <c r="P19" s="7">
        <f t="shared" si="3"/>
        <v>487.87774187481779</v>
      </c>
      <c r="Q19" s="7">
        <f t="shared" si="4"/>
        <v>141.83126946208017</v>
      </c>
      <c r="R19" s="8">
        <f t="shared" si="5"/>
        <v>629.7090113368979</v>
      </c>
    </row>
    <row r="20" spans="6:18" x14ac:dyDescent="0.2">
      <c r="F20" s="6">
        <f t="shared" si="6"/>
        <v>17</v>
      </c>
      <c r="G20" s="7"/>
      <c r="H20" s="7" cm="1">
        <f t="array" ref="H20:J20">MMULT(H19:J19,$B$5:$D$7)</f>
        <v>520.40292466647225</v>
      </c>
      <c r="I20" s="7">
        <v>240.82876804412086</v>
      </c>
      <c r="J20" s="7">
        <v>238.76830728940627</v>
      </c>
      <c r="K20" s="7"/>
      <c r="L20" s="7">
        <f t="shared" si="0"/>
        <v>26020.146233323612</v>
      </c>
      <c r="M20" s="7">
        <f t="shared" si="1"/>
        <v>240828.76804412086</v>
      </c>
      <c r="N20" s="7">
        <f t="shared" si="2"/>
        <v>266848.91427744448</v>
      </c>
      <c r="O20" s="7"/>
      <c r="P20" s="7">
        <f t="shared" si="3"/>
        <v>468.36263219982504</v>
      </c>
      <c r="Q20" s="7">
        <f t="shared" si="4"/>
        <v>144.49726082647251</v>
      </c>
      <c r="R20" s="8">
        <f t="shared" si="5"/>
        <v>612.85989302629753</v>
      </c>
    </row>
    <row r="21" spans="6:18" x14ac:dyDescent="0.2">
      <c r="F21" s="6">
        <f t="shared" si="6"/>
        <v>18</v>
      </c>
      <c r="G21" s="7"/>
      <c r="H21" s="7" cm="1">
        <f t="array" ref="H21:J21">MMULT(H20:J20,$B$5:$D$7)</f>
        <v>499.58680767981332</v>
      </c>
      <c r="I21" s="7">
        <v>244.39941738190899</v>
      </c>
      <c r="J21" s="7">
        <v>256.01377493827704</v>
      </c>
      <c r="K21" s="7"/>
      <c r="L21" s="7">
        <f t="shared" si="0"/>
        <v>24979.340383990668</v>
      </c>
      <c r="M21" s="7">
        <f t="shared" si="1"/>
        <v>244399.41738190898</v>
      </c>
      <c r="N21" s="7">
        <f t="shared" si="2"/>
        <v>269378.75776589965</v>
      </c>
      <c r="O21" s="7"/>
      <c r="P21" s="7">
        <f t="shared" si="3"/>
        <v>449.628126911832</v>
      </c>
      <c r="Q21" s="7">
        <f t="shared" si="4"/>
        <v>146.63965042914538</v>
      </c>
      <c r="R21" s="8">
        <f t="shared" si="5"/>
        <v>596.26777734097732</v>
      </c>
    </row>
    <row r="22" spans="6:18" x14ac:dyDescent="0.2">
      <c r="F22" s="6">
        <f t="shared" si="6"/>
        <v>19</v>
      </c>
      <c r="G22" s="7"/>
      <c r="H22" s="7" cm="1">
        <f t="array" ref="H22:J22">MMULT(H21:J21,$B$5:$D$7)</f>
        <v>479.60333537262079</v>
      </c>
      <c r="I22" s="7">
        <v>247.16705074320794</v>
      </c>
      <c r="J22" s="7">
        <v>273.22961388417065</v>
      </c>
      <c r="K22" s="7"/>
      <c r="L22" s="7">
        <f t="shared" si="0"/>
        <v>23980.166768631039</v>
      </c>
      <c r="M22" s="7">
        <f t="shared" si="1"/>
        <v>247167.05074320795</v>
      </c>
      <c r="N22" s="7">
        <f t="shared" si="2"/>
        <v>271147.217511839</v>
      </c>
      <c r="O22" s="7"/>
      <c r="P22" s="7">
        <f t="shared" si="3"/>
        <v>431.64300183535875</v>
      </c>
      <c r="Q22" s="7">
        <f t="shared" si="4"/>
        <v>148.30023044592477</v>
      </c>
      <c r="R22" s="8">
        <f t="shared" si="5"/>
        <v>579.94323228128349</v>
      </c>
    </row>
    <row r="23" spans="6:18" x14ac:dyDescent="0.2">
      <c r="F23" s="6">
        <f t="shared" si="6"/>
        <v>20</v>
      </c>
      <c r="G23" s="7"/>
      <c r="H23" s="7" cm="1">
        <f t="array" ref="H23:J23">MMULT(H22:J22,$B$5:$D$7)</f>
        <v>460.41920195771593</v>
      </c>
      <c r="I23" s="7">
        <v>249.19679826722614</v>
      </c>
      <c r="J23" s="7">
        <v>290.38399977505725</v>
      </c>
      <c r="K23" s="7"/>
      <c r="L23" s="7">
        <f t="shared" si="0"/>
        <v>23020.960097885796</v>
      </c>
      <c r="M23" s="7">
        <f t="shared" si="1"/>
        <v>249196.79826722614</v>
      </c>
      <c r="N23" s="7">
        <f t="shared" si="2"/>
        <v>272217.75836511195</v>
      </c>
      <c r="O23" s="7"/>
      <c r="P23" s="7">
        <f t="shared" si="3"/>
        <v>414.37728176194435</v>
      </c>
      <c r="Q23" s="7">
        <f t="shared" si="4"/>
        <v>149.51807896033569</v>
      </c>
      <c r="R23" s="8">
        <f t="shared" si="5"/>
        <v>563.89536072227997</v>
      </c>
    </row>
    <row r="24" spans="6:18" x14ac:dyDescent="0.2">
      <c r="F24" s="6">
        <f t="shared" si="6"/>
        <v>21</v>
      </c>
      <c r="G24" s="7"/>
      <c r="H24" s="7" cm="1">
        <f t="array" ref="H24:J24">MMULT(H23:J23,$B$5:$D$7)</f>
        <v>442.00243387940725</v>
      </c>
      <c r="I24" s="7">
        <v>250.5495344125963</v>
      </c>
      <c r="J24" s="7">
        <v>307.44803170799571</v>
      </c>
      <c r="K24" s="7"/>
      <c r="L24" s="7">
        <f t="shared" si="0"/>
        <v>22100.121693970363</v>
      </c>
      <c r="M24" s="7">
        <f t="shared" si="1"/>
        <v>250549.53441259629</v>
      </c>
      <c r="N24" s="7">
        <f t="shared" si="2"/>
        <v>272649.65610656666</v>
      </c>
      <c r="O24" s="7"/>
      <c r="P24" s="7">
        <f t="shared" si="3"/>
        <v>397.80219049146655</v>
      </c>
      <c r="Q24" s="7">
        <f t="shared" si="4"/>
        <v>150.32972064755776</v>
      </c>
      <c r="R24" s="8">
        <f t="shared" si="5"/>
        <v>548.13191113902428</v>
      </c>
    </row>
    <row r="25" spans="6:18" x14ac:dyDescent="0.2">
      <c r="F25" s="6">
        <f t="shared" si="6"/>
        <v>22</v>
      </c>
      <c r="G25" s="7"/>
      <c r="H25" s="7" cm="1">
        <f t="array" ref="H25:J25">MMULT(H24:J24,$B$5:$D$7)</f>
        <v>424.32233652423093</v>
      </c>
      <c r="I25" s="7">
        <v>251.28213070834869</v>
      </c>
      <c r="J25" s="7">
        <v>324.39553276741958</v>
      </c>
      <c r="K25" s="7"/>
      <c r="L25" s="7">
        <f t="shared" si="0"/>
        <v>21216.116826211546</v>
      </c>
      <c r="M25" s="7">
        <f t="shared" si="1"/>
        <v>251282.13070834868</v>
      </c>
      <c r="N25" s="7">
        <f t="shared" si="2"/>
        <v>272498.24753456021</v>
      </c>
      <c r="O25" s="7"/>
      <c r="P25" s="7">
        <f t="shared" si="3"/>
        <v>381.89010287180787</v>
      </c>
      <c r="Q25" s="7">
        <f t="shared" si="4"/>
        <v>150.76927842500922</v>
      </c>
      <c r="R25" s="8">
        <f t="shared" si="5"/>
        <v>532.65938129681706</v>
      </c>
    </row>
    <row r="26" spans="6:18" x14ac:dyDescent="0.2">
      <c r="F26" s="6">
        <f t="shared" si="6"/>
        <v>23</v>
      </c>
      <c r="G26" s="7"/>
      <c r="H26" s="7" cm="1">
        <f t="array" ref="H26:J26">MMULT(H25:J25,$B$5:$D$7)</f>
        <v>407.34944306326167</v>
      </c>
      <c r="I26" s="7">
        <v>251.44769426865818</v>
      </c>
      <c r="J26" s="7">
        <v>341.20286266807932</v>
      </c>
      <c r="K26" s="7"/>
      <c r="L26" s="7">
        <f t="shared" si="0"/>
        <v>20367.472153163082</v>
      </c>
      <c r="M26" s="7">
        <f t="shared" si="1"/>
        <v>251447.69426865818</v>
      </c>
      <c r="N26" s="7">
        <f t="shared" si="2"/>
        <v>271815.16642182128</v>
      </c>
      <c r="O26" s="7"/>
      <c r="P26" s="7">
        <f t="shared" si="3"/>
        <v>366.61449875693552</v>
      </c>
      <c r="Q26" s="7">
        <f t="shared" si="4"/>
        <v>150.8686165611949</v>
      </c>
      <c r="R26" s="8">
        <f t="shared" si="5"/>
        <v>517.48311531813044</v>
      </c>
    </row>
    <row r="27" spans="6:18" x14ac:dyDescent="0.2">
      <c r="F27" s="6">
        <f t="shared" si="6"/>
        <v>24</v>
      </c>
      <c r="G27" s="7"/>
      <c r="H27" s="7" cm="1">
        <f t="array" ref="H27:J27">MMULT(H26:J26,$B$5:$D$7)</f>
        <v>391.05546534073119</v>
      </c>
      <c r="I27" s="7">
        <v>251.09579284712311</v>
      </c>
      <c r="J27" s="7">
        <v>357.84874181214485</v>
      </c>
      <c r="K27" s="7"/>
      <c r="L27" s="7">
        <f t="shared" si="0"/>
        <v>19552.773267036559</v>
      </c>
      <c r="M27" s="7">
        <f t="shared" si="1"/>
        <v>251095.79284712311</v>
      </c>
      <c r="N27" s="7">
        <f t="shared" si="2"/>
        <v>270648.56611415965</v>
      </c>
      <c r="O27" s="7"/>
      <c r="P27" s="7">
        <f t="shared" si="3"/>
        <v>351.9499188066581</v>
      </c>
      <c r="Q27" s="7">
        <f t="shared" si="4"/>
        <v>150.65747570827386</v>
      </c>
      <c r="R27" s="8">
        <f t="shared" si="5"/>
        <v>502.60739451493197</v>
      </c>
    </row>
    <row r="28" spans="6:18" x14ac:dyDescent="0.2">
      <c r="F28" s="6">
        <f t="shared" si="6"/>
        <v>25</v>
      </c>
      <c r="G28" s="7"/>
      <c r="H28" s="7" cm="1">
        <f t="array" ref="H28:J28">MMULT(H27:J27,$B$5:$D$7)</f>
        <v>375.41324672710192</v>
      </c>
      <c r="I28" s="7">
        <v>250.27266716498889</v>
      </c>
      <c r="J28" s="7">
        <v>374.31408610790834</v>
      </c>
      <c r="K28" s="7"/>
      <c r="L28" s="7">
        <f t="shared" si="0"/>
        <v>18770.662336355097</v>
      </c>
      <c r="M28" s="7">
        <f t="shared" si="1"/>
        <v>250272.66716498887</v>
      </c>
      <c r="N28" s="7">
        <f t="shared" si="2"/>
        <v>269043.32950134395</v>
      </c>
      <c r="O28" s="7"/>
      <c r="P28" s="7">
        <f t="shared" si="3"/>
        <v>337.87192205439175</v>
      </c>
      <c r="Q28" s="7">
        <f t="shared" si="4"/>
        <v>150.16360029899332</v>
      </c>
      <c r="R28" s="8">
        <f t="shared" si="5"/>
        <v>488.03552235338509</v>
      </c>
    </row>
    <row r="29" spans="6:18" x14ac:dyDescent="0.2">
      <c r="F29" s="6">
        <f t="shared" si="6"/>
        <v>26</v>
      </c>
      <c r="G29" s="7"/>
      <c r="H29" s="7" cm="1">
        <f t="array" ref="H29:J29">MMULT(H28:J28,$B$5:$D$7)</f>
        <v>360.39671685801784</v>
      </c>
      <c r="I29" s="7">
        <v>249.02143120855249</v>
      </c>
      <c r="J29" s="7">
        <v>390.58185193342882</v>
      </c>
      <c r="K29" s="7"/>
      <c r="L29" s="7">
        <f t="shared" si="0"/>
        <v>18019.835842900891</v>
      </c>
      <c r="M29" s="7">
        <f t="shared" si="1"/>
        <v>249021.43120855247</v>
      </c>
      <c r="N29" s="7">
        <f t="shared" si="2"/>
        <v>267041.26705145335</v>
      </c>
      <c r="O29" s="7"/>
      <c r="P29" s="7">
        <f t="shared" si="3"/>
        <v>324.35704517221609</v>
      </c>
      <c r="Q29" s="7">
        <f t="shared" si="4"/>
        <v>149.41285872513149</v>
      </c>
      <c r="R29" s="8">
        <f t="shared" si="5"/>
        <v>473.7699038973476</v>
      </c>
    </row>
    <row r="30" spans="6:18" x14ac:dyDescent="0.2">
      <c r="F30" s="6">
        <f t="shared" si="6"/>
        <v>27</v>
      </c>
      <c r="G30" s="7"/>
      <c r="H30" s="7" cm="1">
        <f t="array" ref="H30:J30">MMULT(H29:J29,$B$5:$D$7)</f>
        <v>345.98084818369711</v>
      </c>
      <c r="I30" s="7">
        <v>247.38226115386539</v>
      </c>
      <c r="J30" s="7">
        <v>406.6368906624366</v>
      </c>
      <c r="K30" s="7"/>
      <c r="L30" s="7">
        <f t="shared" si="0"/>
        <v>17299.042409184854</v>
      </c>
      <c r="M30" s="7">
        <f t="shared" si="1"/>
        <v>247382.26115386537</v>
      </c>
      <c r="N30" s="7">
        <f t="shared" si="2"/>
        <v>264681.30356305023</v>
      </c>
      <c r="O30" s="7"/>
      <c r="P30" s="7">
        <f t="shared" si="3"/>
        <v>311.38276336532738</v>
      </c>
      <c r="Q30" s="7">
        <f t="shared" si="4"/>
        <v>148.42935669231923</v>
      </c>
      <c r="R30" s="8">
        <f t="shared" si="5"/>
        <v>459.81212005764661</v>
      </c>
    </row>
    <row r="31" spans="6:18" x14ac:dyDescent="0.2">
      <c r="F31" s="6">
        <f t="shared" si="6"/>
        <v>28</v>
      </c>
      <c r="G31" s="7"/>
      <c r="H31" s="7" cm="1">
        <f t="array" ref="H31:J31">MMULT(H30:J30,$B$5:$D$7)</f>
        <v>332.14161425634921</v>
      </c>
      <c r="I31" s="7">
        <v>245.39257354168302</v>
      </c>
      <c r="J31" s="7">
        <v>422.46581220196686</v>
      </c>
      <c r="K31" s="7"/>
      <c r="L31" s="7">
        <f t="shared" si="0"/>
        <v>16607.08071281746</v>
      </c>
      <c r="M31" s="7">
        <f t="shared" si="1"/>
        <v>245392.57354168303</v>
      </c>
      <c r="N31" s="7">
        <f t="shared" si="2"/>
        <v>261999.65425450049</v>
      </c>
      <c r="O31" s="7"/>
      <c r="P31" s="7">
        <f t="shared" si="3"/>
        <v>298.92745283071429</v>
      </c>
      <c r="Q31" s="7">
        <f t="shared" si="4"/>
        <v>147.2355441250098</v>
      </c>
      <c r="R31" s="8">
        <f t="shared" si="5"/>
        <v>446.16299695572411</v>
      </c>
    </row>
    <row r="32" spans="6:18" x14ac:dyDescent="0.2">
      <c r="F32" s="6">
        <f t="shared" si="6"/>
        <v>29</v>
      </c>
      <c r="G32" s="7"/>
      <c r="H32" s="7" cm="1">
        <f t="array" ref="H32:J32">MMULT(H31:J31,$B$5:$D$7)</f>
        <v>318.85594968609524</v>
      </c>
      <c r="I32" s="7">
        <v>243.08719329228933</v>
      </c>
      <c r="J32" s="7">
        <v>438.05685702161452</v>
      </c>
      <c r="K32" s="7"/>
      <c r="L32" s="7">
        <f t="shared" si="0"/>
        <v>15942.797484304761</v>
      </c>
      <c r="M32" s="7">
        <f t="shared" si="1"/>
        <v>243087.19329228933</v>
      </c>
      <c r="N32" s="7">
        <f t="shared" si="2"/>
        <v>259029.99077659409</v>
      </c>
      <c r="O32" s="7"/>
      <c r="P32" s="7">
        <f t="shared" si="3"/>
        <v>286.97035471748575</v>
      </c>
      <c r="Q32" s="7">
        <f t="shared" si="4"/>
        <v>145.85231597537359</v>
      </c>
      <c r="R32" s="8">
        <f t="shared" si="5"/>
        <v>432.82267069285933</v>
      </c>
    </row>
    <row r="33" spans="6:18" x14ac:dyDescent="0.2">
      <c r="F33" s="6">
        <f t="shared" si="6"/>
        <v>30</v>
      </c>
      <c r="G33" s="7"/>
      <c r="H33" s="7" cm="1">
        <f t="array" ref="H33:J33">MMULT(H32:J32,$B$5:$D$7)</f>
        <v>306.1017116986514</v>
      </c>
      <c r="I33" s="7">
        <v>240.49851211825771</v>
      </c>
      <c r="J33" s="7">
        <v>453.39977618308995</v>
      </c>
      <c r="K33" s="7"/>
      <c r="L33" s="7">
        <f t="shared" si="0"/>
        <v>15305.085584932571</v>
      </c>
      <c r="M33" s="7">
        <f t="shared" si="1"/>
        <v>240498.5121182577</v>
      </c>
      <c r="N33" s="7">
        <f t="shared" si="2"/>
        <v>255803.59770319026</v>
      </c>
      <c r="O33" s="7"/>
      <c r="P33" s="7">
        <f t="shared" si="3"/>
        <v>275.49154052878629</v>
      </c>
      <c r="Q33" s="7">
        <f t="shared" si="4"/>
        <v>144.29910727095461</v>
      </c>
      <c r="R33" s="8">
        <f t="shared" si="5"/>
        <v>419.7906477997409</v>
      </c>
    </row>
    <row r="34" spans="6:18" x14ac:dyDescent="0.2">
      <c r="F34" s="6">
        <f t="shared" si="6"/>
        <v>31</v>
      </c>
      <c r="G34" s="7"/>
      <c r="H34" s="7" cm="1">
        <f t="array" ref="H34:J34">MMULT(H33:J33,$B$5:$D$7)</f>
        <v>293.85764323070532</v>
      </c>
      <c r="I34" s="7">
        <v>237.65663786330435</v>
      </c>
      <c r="J34" s="7">
        <v>468.48571890598936</v>
      </c>
      <c r="K34" s="7"/>
      <c r="L34" s="7">
        <f t="shared" si="0"/>
        <v>14692.882161535266</v>
      </c>
      <c r="M34" s="7">
        <f t="shared" si="1"/>
        <v>237656.63786330435</v>
      </c>
      <c r="N34" s="7">
        <f t="shared" si="2"/>
        <v>252349.52002483961</v>
      </c>
      <c r="O34" s="7"/>
      <c r="P34" s="7">
        <f>H34*$C$11</f>
        <v>264.47187890763479</v>
      </c>
      <c r="Q34" s="7">
        <f>I34*$C$12</f>
        <v>142.59398271798261</v>
      </c>
      <c r="R34" s="8">
        <f>SUM(P34:Q34)</f>
        <v>407.0658616256174</v>
      </c>
    </row>
    <row r="35" spans="6:18" x14ac:dyDescent="0.2">
      <c r="F35" s="6">
        <f t="shared" si="6"/>
        <v>32</v>
      </c>
      <c r="G35" s="7"/>
      <c r="H35" s="7" cm="1">
        <f t="array" ref="H35:J35">MMULT(H34:J34,$B$5:$D$7)</f>
        <v>282.10333750147709</v>
      </c>
      <c r="I35" s="7">
        <v>234.58953526706028</v>
      </c>
      <c r="J35" s="7">
        <v>483.30712723146161</v>
      </c>
      <c r="K35" s="7"/>
      <c r="L35" s="7">
        <f t="shared" si="0"/>
        <v>14105.166875073854</v>
      </c>
      <c r="M35" s="7">
        <f t="shared" si="1"/>
        <v>234589.53526706027</v>
      </c>
      <c r="N35" s="7">
        <f t="shared" si="2"/>
        <v>248694.70214213413</v>
      </c>
      <c r="O35" s="7"/>
      <c r="P35" s="7">
        <f t="shared" ref="P35:P43" si="7">H35*$C$11</f>
        <v>253.89300375132939</v>
      </c>
      <c r="Q35" s="7">
        <f t="shared" ref="Q35:Q43" si="8">I35*$C$12</f>
        <v>140.75372116023615</v>
      </c>
      <c r="R35" s="8">
        <f t="shared" ref="R35:R43" si="9">SUM(P35:Q35)</f>
        <v>394.64672491156557</v>
      </c>
    </row>
    <row r="36" spans="6:18" x14ac:dyDescent="0.2">
      <c r="F36" s="6">
        <f t="shared" si="6"/>
        <v>33</v>
      </c>
      <c r="G36" s="7"/>
      <c r="H36" s="7" cm="1">
        <f t="array" ref="H36:J36">MMULT(H35:J35,$B$5:$D$7)</f>
        <v>270.81920400141797</v>
      </c>
      <c r="I36" s="7">
        <v>231.32315862875157</v>
      </c>
      <c r="J36" s="7">
        <v>497.85763736982938</v>
      </c>
      <c r="K36" s="7"/>
      <c r="L36" s="7">
        <f t="shared" si="0"/>
        <v>13540.960200070898</v>
      </c>
      <c r="M36" s="7">
        <f t="shared" si="1"/>
        <v>231323.15862875158</v>
      </c>
      <c r="N36" s="7">
        <f t="shared" si="2"/>
        <v>244864.11882882248</v>
      </c>
      <c r="O36" s="7"/>
      <c r="P36" s="7">
        <f t="shared" si="7"/>
        <v>243.73728360127618</v>
      </c>
      <c r="Q36" s="7">
        <f t="shared" si="8"/>
        <v>138.79389517725093</v>
      </c>
      <c r="R36" s="8">
        <f t="shared" si="9"/>
        <v>382.53117877852708</v>
      </c>
    </row>
    <row r="37" spans="6:18" x14ac:dyDescent="0.2">
      <c r="F37" s="6">
        <f t="shared" si="6"/>
        <v>34</v>
      </c>
      <c r="G37" s="7"/>
      <c r="H37" s="7" cm="1">
        <f t="array" ref="H37:J37">MMULT(H36:J36,$B$5:$D$7)</f>
        <v>259.98643584136124</v>
      </c>
      <c r="I37" s="7">
        <v>227.88157681735652</v>
      </c>
      <c r="J37" s="7">
        <v>512.13198734128116</v>
      </c>
      <c r="K37" s="7"/>
      <c r="L37" s="7">
        <f t="shared" si="0"/>
        <v>12999.321792068062</v>
      </c>
      <c r="M37" s="7">
        <f t="shared" si="1"/>
        <v>227881.57681735652</v>
      </c>
      <c r="N37" s="7">
        <f t="shared" si="2"/>
        <v>240880.89860942459</v>
      </c>
      <c r="O37" s="7"/>
      <c r="P37" s="7">
        <f t="shared" si="7"/>
        <v>233.98779225722512</v>
      </c>
      <c r="Q37" s="7">
        <f t="shared" si="8"/>
        <v>136.7289460904139</v>
      </c>
      <c r="R37" s="8">
        <f t="shared" si="9"/>
        <v>370.71673834763902</v>
      </c>
    </row>
    <row r="38" spans="6:18" x14ac:dyDescent="0.2">
      <c r="F38" s="6">
        <f t="shared" si="6"/>
        <v>35</v>
      </c>
      <c r="G38" s="7"/>
      <c r="H38" s="7" cm="1">
        <f t="array" ref="H38:J38">MMULT(H37:J37,$B$5:$D$7)</f>
        <v>249.58697840770679</v>
      </c>
      <c r="I38" s="7">
        <v>224.2870910517295</v>
      </c>
      <c r="J38" s="7">
        <v>526.12593054056265</v>
      </c>
      <c r="K38" s="7"/>
      <c r="L38" s="7">
        <f t="shared" si="0"/>
        <v>12479.348920385341</v>
      </c>
      <c r="M38" s="7">
        <f t="shared" si="1"/>
        <v>224287.09105172951</v>
      </c>
      <c r="N38" s="7">
        <f t="shared" si="2"/>
        <v>236766.43997211487</v>
      </c>
      <c r="O38" s="7"/>
      <c r="P38" s="7">
        <f t="shared" si="7"/>
        <v>224.62828056693613</v>
      </c>
      <c r="Q38" s="7">
        <f t="shared" si="8"/>
        <v>134.57225463103771</v>
      </c>
      <c r="R38" s="8">
        <f t="shared" si="9"/>
        <v>359.20053519797386</v>
      </c>
    </row>
    <row r="39" spans="6:18" x14ac:dyDescent="0.2">
      <c r="F39" s="6">
        <f t="shared" si="6"/>
        <v>36</v>
      </c>
      <c r="G39" s="7"/>
      <c r="H39" s="7" cm="1">
        <f t="array" ref="H39:J39">MMULT(H38:J38,$B$5:$D$7)</f>
        <v>239.6034992713985</v>
      </c>
      <c r="I39" s="7">
        <v>220.56034585137422</v>
      </c>
      <c r="J39" s="7">
        <v>539.83615487722614</v>
      </c>
      <c r="K39" s="7"/>
      <c r="L39" s="7">
        <f t="shared" si="0"/>
        <v>11980.174963569925</v>
      </c>
      <c r="M39" s="7">
        <f t="shared" si="1"/>
        <v>220560.34585137421</v>
      </c>
      <c r="N39" s="7">
        <f t="shared" si="2"/>
        <v>232540.52081494415</v>
      </c>
      <c r="O39" s="7"/>
      <c r="P39" s="7">
        <f t="shared" si="7"/>
        <v>215.64314934425866</v>
      </c>
      <c r="Q39" s="7">
        <f t="shared" si="8"/>
        <v>132.33620751082452</v>
      </c>
      <c r="R39" s="8">
        <f t="shared" si="9"/>
        <v>347.97935685508321</v>
      </c>
    </row>
    <row r="40" spans="6:18" x14ac:dyDescent="0.2">
      <c r="F40" s="6">
        <f t="shared" si="6"/>
        <v>37</v>
      </c>
      <c r="G40" s="7"/>
      <c r="H40" s="7" cm="1">
        <f t="array" ref="H40:J40">MMULT(H39:J39,$B$5:$D$7)</f>
        <v>230.01935930054256</v>
      </c>
      <c r="I40" s="7">
        <v>216.72043353694744</v>
      </c>
      <c r="J40" s="7">
        <v>553.26020716250878</v>
      </c>
      <c r="K40" s="7"/>
      <c r="L40" s="7">
        <f t="shared" si="0"/>
        <v>11500.967965027128</v>
      </c>
      <c r="M40" s="7">
        <f t="shared" si="1"/>
        <v>216720.43353694744</v>
      </c>
      <c r="N40" s="7">
        <f t="shared" si="2"/>
        <v>228221.40150197456</v>
      </c>
      <c r="O40" s="7"/>
      <c r="P40" s="7">
        <f t="shared" si="7"/>
        <v>207.0174233704883</v>
      </c>
      <c r="Q40" s="7">
        <f t="shared" si="8"/>
        <v>130.03226012216845</v>
      </c>
      <c r="R40" s="8">
        <f t="shared" si="9"/>
        <v>337.04968349265675</v>
      </c>
    </row>
    <row r="41" spans="6:18" x14ac:dyDescent="0.2">
      <c r="F41" s="6">
        <f t="shared" si="6"/>
        <v>38</v>
      </c>
      <c r="G41" s="7"/>
      <c r="H41" s="7" cm="1">
        <f t="array" ref="H41:J41">MMULT(H40:J40,$B$5:$D$7)</f>
        <v>220.81858492852086</v>
      </c>
      <c r="I41" s="7">
        <v>212.78499263911633</v>
      </c>
      <c r="J41" s="7">
        <v>566.39642243236153</v>
      </c>
      <c r="K41" s="7"/>
      <c r="L41" s="7">
        <f t="shared" si="0"/>
        <v>11040.929246426043</v>
      </c>
      <c r="M41" s="7">
        <f t="shared" si="1"/>
        <v>212784.99263911633</v>
      </c>
      <c r="N41" s="7">
        <f t="shared" si="2"/>
        <v>223825.92188554237</v>
      </c>
      <c r="O41" s="7"/>
      <c r="P41" s="7">
        <f t="shared" si="7"/>
        <v>198.73672643566877</v>
      </c>
      <c r="Q41" s="7">
        <f t="shared" si="8"/>
        <v>127.67099558346979</v>
      </c>
      <c r="R41" s="8">
        <f t="shared" si="9"/>
        <v>326.40772201913853</v>
      </c>
    </row>
    <row r="42" spans="6:18" x14ac:dyDescent="0.2">
      <c r="F42" s="6">
        <f t="shared" si="6"/>
        <v>39</v>
      </c>
      <c r="G42" s="7"/>
      <c r="H42" s="7" cm="1">
        <f t="array" ref="H42:J42">MMULT(H41:J41,$B$5:$D$7)</f>
        <v>211.98584153138003</v>
      </c>
      <c r="I42" s="7">
        <v>208.77030055501612</v>
      </c>
      <c r="J42" s="7">
        <v>579.2438579136026</v>
      </c>
      <c r="K42" s="7"/>
      <c r="L42" s="7">
        <f t="shared" si="0"/>
        <v>10599.292076569001</v>
      </c>
      <c r="M42" s="7">
        <f t="shared" si="1"/>
        <v>208770.30055501612</v>
      </c>
      <c r="N42" s="7">
        <f t="shared" si="2"/>
        <v>219369.59263158511</v>
      </c>
      <c r="O42" s="7"/>
      <c r="P42" s="7">
        <f t="shared" si="7"/>
        <v>190.78725737824203</v>
      </c>
      <c r="Q42" s="7">
        <f t="shared" si="8"/>
        <v>125.26218033300967</v>
      </c>
      <c r="R42" s="8">
        <f t="shared" si="9"/>
        <v>316.0494377112517</v>
      </c>
    </row>
    <row r="43" spans="6:18" ht="17" thickBot="1" x14ac:dyDescent="0.25">
      <c r="F43" s="9">
        <f t="shared" si="6"/>
        <v>40</v>
      </c>
      <c r="G43" s="10"/>
      <c r="H43" s="10" cm="1">
        <f t="array" ref="H43:J43">MMULT(H42:J42,$B$5:$D$7)</f>
        <v>203.50640787012483</v>
      </c>
      <c r="I43" s="10">
        <v>204.69136077320672</v>
      </c>
      <c r="J43" s="10">
        <v>591.80223135666722</v>
      </c>
      <c r="K43" s="10"/>
      <c r="L43" s="10">
        <f t="shared" si="0"/>
        <v>10175.320393506241</v>
      </c>
      <c r="M43" s="10">
        <f t="shared" si="1"/>
        <v>204691.36077320672</v>
      </c>
      <c r="N43" s="10">
        <f t="shared" si="2"/>
        <v>214866.68116671295</v>
      </c>
      <c r="O43" s="10"/>
      <c r="P43" s="10">
        <f t="shared" si="7"/>
        <v>183.15576708311235</v>
      </c>
      <c r="Q43" s="10">
        <f t="shared" si="8"/>
        <v>122.81481646392403</v>
      </c>
      <c r="R43" s="11">
        <f t="shared" si="9"/>
        <v>305.97058354703637</v>
      </c>
    </row>
    <row r="44" spans="6:18" ht="17" thickBot="1" x14ac:dyDescent="0.25">
      <c r="F44" s="3"/>
    </row>
    <row r="45" spans="6:18" ht="17" thickBot="1" x14ac:dyDescent="0.25">
      <c r="L45" s="67">
        <f>SUM(L1:L43)/$H$4</f>
        <v>1005.7923105558491</v>
      </c>
      <c r="M45" s="68">
        <f>SUM(M1:M43)/$H$4</f>
        <v>8058.2680272571788</v>
      </c>
      <c r="N45" s="71">
        <f>SUM(N1:N43)/$H$4</f>
        <v>9064.060337813029</v>
      </c>
      <c r="O45" s="71"/>
      <c r="P45" s="37">
        <f>SUM(P1:P43)/H4</f>
        <v>18.104261590005283</v>
      </c>
      <c r="Q45" s="37">
        <f>SUM(Q1:Q43)/H4</f>
        <v>4.8349608163543083</v>
      </c>
      <c r="R45" s="38">
        <f>SUM(R1:R43)/H4</f>
        <v>22.939222406359598</v>
      </c>
    </row>
    <row r="46" spans="6:18" ht="17" thickBot="1" x14ac:dyDescent="0.25">
      <c r="N46" s="70" t="s">
        <v>14</v>
      </c>
      <c r="O46" s="107"/>
      <c r="Q46" s="69" t="s">
        <v>15</v>
      </c>
      <c r="R46" s="107"/>
    </row>
  </sheetData>
  <hyperlinks>
    <hyperlink ref="C2" r:id="rId1" xr:uid="{BEB81624-79E3-784E-8621-02C9CD8AC7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ADD1-B4C7-574E-943B-FCE709F908A3}">
  <sheetPr codeName="Sheet2"/>
  <dimension ref="A1:AC46"/>
  <sheetViews>
    <sheetView showGridLines="0" zoomScale="90" zoomScaleNormal="90" workbookViewId="0">
      <selection activeCell="AA46" sqref="AA46:AC46"/>
    </sheetView>
  </sheetViews>
  <sheetFormatPr baseColWidth="10" defaultRowHeight="16" x14ac:dyDescent="0.2"/>
  <cols>
    <col min="1" max="1" width="15" bestFit="1" customWidth="1"/>
    <col min="8" max="8" width="9.1640625" customWidth="1"/>
    <col min="11" max="11" width="6.5" customWidth="1"/>
    <col min="12" max="12" width="13.1640625" customWidth="1"/>
    <col min="13" max="13" width="12.83203125" customWidth="1"/>
    <col min="14" max="14" width="12.6640625" customWidth="1"/>
    <col min="15" max="15" width="6.5" customWidth="1"/>
    <col min="19" max="19" width="8.1640625" customWidth="1"/>
    <col min="22" max="22" width="9" customWidth="1"/>
    <col min="26" max="26" width="7.83203125" customWidth="1"/>
  </cols>
  <sheetData>
    <row r="1" spans="1:29" x14ac:dyDescent="0.2">
      <c r="A1" s="42" t="s">
        <v>56</v>
      </c>
      <c r="B1" s="42"/>
      <c r="C1" s="42"/>
    </row>
    <row r="2" spans="1:29" ht="17" thickBot="1" x14ac:dyDescent="0.25">
      <c r="A2" s="42" t="s">
        <v>17</v>
      </c>
      <c r="B2" s="42" t="s">
        <v>29</v>
      </c>
      <c r="C2" s="64" t="s">
        <v>28</v>
      </c>
      <c r="D2" s="42"/>
      <c r="F2" s="12" t="s">
        <v>9</v>
      </c>
      <c r="G2" s="2"/>
      <c r="H2" s="2" t="s">
        <v>10</v>
      </c>
      <c r="I2" s="2"/>
      <c r="J2" s="1"/>
      <c r="K2" s="1"/>
      <c r="L2" s="12" t="s">
        <v>50</v>
      </c>
      <c r="M2" s="2"/>
      <c r="N2" s="2"/>
      <c r="O2" s="2"/>
      <c r="P2" s="12" t="s">
        <v>51</v>
      </c>
      <c r="Q2" s="2"/>
      <c r="R2" s="2"/>
      <c r="S2" s="2"/>
      <c r="T2" s="2" t="s">
        <v>53</v>
      </c>
      <c r="U2" s="2"/>
      <c r="V2" s="2"/>
      <c r="W2" s="12" t="s">
        <v>48</v>
      </c>
      <c r="X2" s="2"/>
      <c r="Y2" s="2"/>
      <c r="Z2" s="2"/>
      <c r="AA2" s="12" t="s">
        <v>49</v>
      </c>
      <c r="AB2" s="2"/>
      <c r="AC2" s="2"/>
    </row>
    <row r="3" spans="1:29" ht="17" thickBot="1" x14ac:dyDescent="0.25">
      <c r="A3" s="13" t="s">
        <v>0</v>
      </c>
      <c r="B3" s="1"/>
      <c r="C3" s="1"/>
      <c r="D3" s="1"/>
      <c r="F3" s="43"/>
      <c r="G3" s="44"/>
      <c r="H3" s="45" t="s">
        <v>11</v>
      </c>
      <c r="I3" s="45" t="s">
        <v>4</v>
      </c>
      <c r="J3" s="45" t="s">
        <v>3</v>
      </c>
      <c r="K3" s="45"/>
      <c r="L3" s="45" t="s">
        <v>11</v>
      </c>
      <c r="M3" s="45" t="s">
        <v>4</v>
      </c>
      <c r="N3" s="45" t="s">
        <v>13</v>
      </c>
      <c r="O3" s="45"/>
      <c r="P3" s="45" t="s">
        <v>11</v>
      </c>
      <c r="Q3" s="45" t="s">
        <v>4</v>
      </c>
      <c r="R3" s="45" t="s">
        <v>13</v>
      </c>
      <c r="S3" s="45"/>
      <c r="T3" s="45" t="s">
        <v>35</v>
      </c>
      <c r="U3" s="45" t="s">
        <v>8</v>
      </c>
      <c r="V3" s="45"/>
      <c r="W3" s="45" t="s">
        <v>11</v>
      </c>
      <c r="X3" s="45" t="s">
        <v>4</v>
      </c>
      <c r="Y3" s="45" t="s">
        <v>13</v>
      </c>
      <c r="Z3" s="45"/>
      <c r="AA3" s="45" t="s">
        <v>11</v>
      </c>
      <c r="AB3" s="45" t="s">
        <v>4</v>
      </c>
      <c r="AC3" s="46" t="s">
        <v>13</v>
      </c>
    </row>
    <row r="4" spans="1:29" ht="17" thickBot="1" x14ac:dyDescent="0.25">
      <c r="A4" s="36"/>
      <c r="B4" s="26" t="s">
        <v>1</v>
      </c>
      <c r="C4" s="24" t="s">
        <v>2</v>
      </c>
      <c r="D4" s="25" t="s">
        <v>3</v>
      </c>
      <c r="F4" s="6">
        <v>1</v>
      </c>
      <c r="G4" s="7"/>
      <c r="H4" s="7">
        <v>1000</v>
      </c>
      <c r="I4" s="7">
        <v>0</v>
      </c>
      <c r="J4" s="7">
        <v>0</v>
      </c>
      <c r="K4" s="7"/>
      <c r="L4" s="7">
        <f>H4*$B$11</f>
        <v>50000</v>
      </c>
      <c r="M4" s="7">
        <f>I4*$B$12</f>
        <v>0</v>
      </c>
      <c r="N4" s="7">
        <f>SUM(L4:M4)</f>
        <v>50000</v>
      </c>
      <c r="O4" s="7"/>
      <c r="P4" s="7">
        <f>(H4*$C$11)</f>
        <v>900</v>
      </c>
      <c r="Q4" s="7">
        <f>(I4*$C$11)</f>
        <v>0</v>
      </c>
      <c r="R4" s="7">
        <f>SUM(P4:Q4)</f>
        <v>900</v>
      </c>
      <c r="S4" s="7"/>
      <c r="T4" s="5">
        <f>POWER(1/(1+$B$16),$F4-1)</f>
        <v>1</v>
      </c>
      <c r="U4" s="5">
        <f>POWER(1/(1+$B$15),$F4-1)</f>
        <v>1</v>
      </c>
      <c r="V4" s="7"/>
      <c r="W4" s="7">
        <f t="shared" ref="W4:W43" si="0">L4*T4</f>
        <v>50000</v>
      </c>
      <c r="X4" s="7">
        <f t="shared" ref="X4:X43" si="1">M4*T4</f>
        <v>0</v>
      </c>
      <c r="Y4" s="7">
        <f>SUM(W4:X4)</f>
        <v>50000</v>
      </c>
      <c r="Z4" s="7"/>
      <c r="AA4" s="7">
        <f>P4*U4</f>
        <v>900</v>
      </c>
      <c r="AB4" s="7">
        <f>(Q4*U4)</f>
        <v>0</v>
      </c>
      <c r="AC4" s="8">
        <f>SUM(AA4:AB4)</f>
        <v>900</v>
      </c>
    </row>
    <row r="5" spans="1:29" x14ac:dyDescent="0.2">
      <c r="A5" s="27" t="s">
        <v>1</v>
      </c>
      <c r="B5" s="14">
        <v>0.96</v>
      </c>
      <c r="C5" s="14">
        <v>0.03</v>
      </c>
      <c r="D5" s="15">
        <v>0.01</v>
      </c>
      <c r="F5" s="6">
        <f>F4+1</f>
        <v>2</v>
      </c>
      <c r="G5" s="7"/>
      <c r="H5" s="7" cm="1">
        <f t="array" ref="H5:J5">MMULT(H4:J4,$B$5:$D$7)</f>
        <v>960</v>
      </c>
      <c r="I5" s="7">
        <v>30</v>
      </c>
      <c r="J5" s="7">
        <v>10</v>
      </c>
      <c r="K5" s="7"/>
      <c r="L5" s="7">
        <f t="shared" ref="L5:L43" si="2">H5*$B$11</f>
        <v>48000</v>
      </c>
      <c r="M5" s="7">
        <f t="shared" ref="M5:M43" si="3">I5*$B$12</f>
        <v>30000</v>
      </c>
      <c r="N5" s="7">
        <f t="shared" ref="N5:N43" si="4">SUM(L5:M5)</f>
        <v>78000</v>
      </c>
      <c r="O5" s="7"/>
      <c r="P5" s="7">
        <f t="shared" ref="P5:P43" si="5">H5*$C$11</f>
        <v>864</v>
      </c>
      <c r="Q5" s="7">
        <f t="shared" ref="Q5:Q43" si="6">I5*$C$12</f>
        <v>18</v>
      </c>
      <c r="R5" s="7">
        <f t="shared" ref="R5:R33" si="7">SUM(P5:Q5)</f>
        <v>882</v>
      </c>
      <c r="S5" s="7"/>
      <c r="T5" s="7">
        <f t="shared" ref="T5:T43" si="8">POWER(1/(1+$B$16),$F5-1)</f>
        <v>0.970873786407767</v>
      </c>
      <c r="U5" s="7">
        <f t="shared" ref="U5:U43" si="9">POWER(1/(1+$B$15),$F5-1)</f>
        <v>0.970873786407767</v>
      </c>
      <c r="V5" s="7"/>
      <c r="W5" s="7">
        <f t="shared" si="0"/>
        <v>46601.941747572819</v>
      </c>
      <c r="X5" s="7">
        <f t="shared" si="1"/>
        <v>29126.213592233009</v>
      </c>
      <c r="Y5" s="7">
        <f t="shared" ref="Y5:Y43" si="10">SUM(W5:X5)</f>
        <v>75728.155339805831</v>
      </c>
      <c r="Z5" s="7"/>
      <c r="AA5" s="7">
        <f t="shared" ref="AA5:AA43" si="11">P5*U5</f>
        <v>838.8349514563107</v>
      </c>
      <c r="AB5" s="7">
        <f t="shared" ref="AB5:AB43" si="12">(Q5*U5)</f>
        <v>17.475728155339805</v>
      </c>
      <c r="AC5" s="8">
        <f t="shared" ref="AC5:AC43" si="13">SUM(AA5:AB5)</f>
        <v>856.31067961165047</v>
      </c>
    </row>
    <row r="6" spans="1:29" x14ac:dyDescent="0.2">
      <c r="A6" s="28" t="s">
        <v>4</v>
      </c>
      <c r="B6" s="14">
        <v>0</v>
      </c>
      <c r="C6" s="14">
        <v>0.95</v>
      </c>
      <c r="D6" s="15">
        <v>0.05</v>
      </c>
      <c r="F6" s="6">
        <f t="shared" ref="F6:F43" si="14">F5+1</f>
        <v>3</v>
      </c>
      <c r="G6" s="7"/>
      <c r="H6" s="7" cm="1">
        <f t="array" ref="H6:J6">MMULT(H5:J5,$B$5:$D$7)</f>
        <v>921.59999999999991</v>
      </c>
      <c r="I6" s="7">
        <v>57.3</v>
      </c>
      <c r="J6" s="7">
        <v>21.1</v>
      </c>
      <c r="K6" s="7"/>
      <c r="L6" s="7">
        <f t="shared" si="2"/>
        <v>46079.999999999993</v>
      </c>
      <c r="M6" s="7">
        <f t="shared" si="3"/>
        <v>57300</v>
      </c>
      <c r="N6" s="7">
        <f t="shared" si="4"/>
        <v>103380</v>
      </c>
      <c r="O6" s="7"/>
      <c r="P6" s="7">
        <f t="shared" si="5"/>
        <v>829.43999999999994</v>
      </c>
      <c r="Q6" s="7">
        <f t="shared" si="6"/>
        <v>34.379999999999995</v>
      </c>
      <c r="R6" s="7">
        <f t="shared" si="7"/>
        <v>863.81999999999994</v>
      </c>
      <c r="S6" s="7"/>
      <c r="T6" s="7">
        <f t="shared" si="8"/>
        <v>0.94259590913375435</v>
      </c>
      <c r="U6" s="7">
        <f t="shared" si="9"/>
        <v>0.94259590913375435</v>
      </c>
      <c r="V6" s="7"/>
      <c r="W6" s="7">
        <f t="shared" si="0"/>
        <v>43434.819492883391</v>
      </c>
      <c r="X6" s="7">
        <f t="shared" si="1"/>
        <v>54010.745593364125</v>
      </c>
      <c r="Y6" s="7">
        <f t="shared" si="10"/>
        <v>97445.565086247516</v>
      </c>
      <c r="Z6" s="7"/>
      <c r="AA6" s="7">
        <f t="shared" si="11"/>
        <v>781.82675087190114</v>
      </c>
      <c r="AB6" s="7">
        <f t="shared" si="12"/>
        <v>32.406447356018468</v>
      </c>
      <c r="AC6" s="8">
        <f t="shared" si="13"/>
        <v>814.23319822791962</v>
      </c>
    </row>
    <row r="7" spans="1:29" ht="17" thickBot="1" x14ac:dyDescent="0.25">
      <c r="A7" s="29" t="s">
        <v>3</v>
      </c>
      <c r="B7" s="16">
        <v>0</v>
      </c>
      <c r="C7" s="16">
        <v>0</v>
      </c>
      <c r="D7" s="17">
        <v>1</v>
      </c>
      <c r="F7" s="6">
        <f t="shared" si="14"/>
        <v>4</v>
      </c>
      <c r="G7" s="7"/>
      <c r="H7" s="7" cm="1">
        <f t="array" ref="H7:J7">MMULT(H6:J6,$B$5:$D$7)</f>
        <v>884.73599999999988</v>
      </c>
      <c r="I7" s="7">
        <v>82.082999999999998</v>
      </c>
      <c r="J7" s="7">
        <v>33.180999999999997</v>
      </c>
      <c r="K7" s="7"/>
      <c r="L7" s="7">
        <f t="shared" si="2"/>
        <v>44236.799999999996</v>
      </c>
      <c r="M7" s="7">
        <f t="shared" si="3"/>
        <v>82083</v>
      </c>
      <c r="N7" s="7">
        <f t="shared" si="4"/>
        <v>126319.79999999999</v>
      </c>
      <c r="O7" s="7"/>
      <c r="P7" s="7">
        <f t="shared" si="5"/>
        <v>796.26239999999996</v>
      </c>
      <c r="Q7" s="7">
        <f t="shared" si="6"/>
        <v>49.2498</v>
      </c>
      <c r="R7" s="7">
        <f t="shared" si="7"/>
        <v>845.51220000000001</v>
      </c>
      <c r="S7" s="7"/>
      <c r="T7" s="7">
        <f t="shared" si="8"/>
        <v>0.91514165935315961</v>
      </c>
      <c r="U7" s="7">
        <f t="shared" si="9"/>
        <v>0.91514165935315961</v>
      </c>
      <c r="V7" s="7"/>
      <c r="W7" s="7">
        <f t="shared" si="0"/>
        <v>40482.938556473848</v>
      </c>
      <c r="X7" s="7">
        <f t="shared" si="1"/>
        <v>75117.572824685398</v>
      </c>
      <c r="Y7" s="7">
        <f t="shared" si="10"/>
        <v>115600.51138115925</v>
      </c>
      <c r="Z7" s="7"/>
      <c r="AA7" s="7">
        <f t="shared" si="11"/>
        <v>728.69289401652929</v>
      </c>
      <c r="AB7" s="7">
        <f t="shared" si="12"/>
        <v>45.070543694811242</v>
      </c>
      <c r="AC7" s="8">
        <f t="shared" si="13"/>
        <v>773.76343771134054</v>
      </c>
    </row>
    <row r="8" spans="1:29" ht="17" thickBot="1" x14ac:dyDescent="0.25">
      <c r="F8" s="6">
        <f t="shared" si="14"/>
        <v>5</v>
      </c>
      <c r="G8" s="7"/>
      <c r="H8" s="7" cm="1">
        <f t="array" ref="H8:J8">MMULT(H7:J7,$B$5:$D$7)</f>
        <v>849.34655999999984</v>
      </c>
      <c r="I8" s="7">
        <v>104.52092999999999</v>
      </c>
      <c r="J8" s="7">
        <v>46.132509999999996</v>
      </c>
      <c r="K8" s="7"/>
      <c r="L8" s="7">
        <f t="shared" si="2"/>
        <v>42467.327999999994</v>
      </c>
      <c r="M8" s="7">
        <f t="shared" si="3"/>
        <v>104520.93</v>
      </c>
      <c r="N8" s="7">
        <f t="shared" si="4"/>
        <v>146988.25799999997</v>
      </c>
      <c r="O8" s="7"/>
      <c r="P8" s="7">
        <f t="shared" si="5"/>
        <v>764.41190399999982</v>
      </c>
      <c r="Q8" s="7">
        <f t="shared" si="6"/>
        <v>62.712557999999994</v>
      </c>
      <c r="R8" s="7">
        <f t="shared" si="7"/>
        <v>827.12446199999977</v>
      </c>
      <c r="S8" s="7"/>
      <c r="T8" s="7">
        <f t="shared" si="8"/>
        <v>0.88848704791568889</v>
      </c>
      <c r="U8" s="7">
        <f t="shared" si="9"/>
        <v>0.88848704791568889</v>
      </c>
      <c r="V8" s="7"/>
      <c r="W8" s="7">
        <f t="shared" si="0"/>
        <v>37731.670887587272</v>
      </c>
      <c r="X8" s="7">
        <f t="shared" si="1"/>
        <v>92865.492541102358</v>
      </c>
      <c r="Y8" s="7">
        <f t="shared" si="10"/>
        <v>130597.16342868963</v>
      </c>
      <c r="Z8" s="7"/>
      <c r="AA8" s="7">
        <f t="shared" si="11"/>
        <v>679.17007597657084</v>
      </c>
      <c r="AB8" s="7">
        <f t="shared" si="12"/>
        <v>55.719295524661412</v>
      </c>
      <c r="AC8" s="8">
        <f t="shared" si="13"/>
        <v>734.88937150123229</v>
      </c>
    </row>
    <row r="9" spans="1:29" ht="17" thickBot="1" x14ac:dyDescent="0.25">
      <c r="A9" s="33" t="s">
        <v>5</v>
      </c>
      <c r="B9" s="34"/>
      <c r="C9" s="35"/>
      <c r="F9" s="6">
        <f t="shared" si="14"/>
        <v>6</v>
      </c>
      <c r="G9" s="7"/>
      <c r="H9" s="7" cm="1">
        <f t="array" ref="H9:J9">MMULT(H8:J8,$B$5:$D$7)</f>
        <v>815.37269759999981</v>
      </c>
      <c r="I9" s="7">
        <v>124.77528029999998</v>
      </c>
      <c r="J9" s="7">
        <v>59.852022099999999</v>
      </c>
      <c r="K9" s="7"/>
      <c r="L9" s="7">
        <f t="shared" si="2"/>
        <v>40768.634879999991</v>
      </c>
      <c r="M9" s="7">
        <f t="shared" si="3"/>
        <v>124775.28029999998</v>
      </c>
      <c r="N9" s="7">
        <f t="shared" si="4"/>
        <v>165543.91517999998</v>
      </c>
      <c r="O9" s="7"/>
      <c r="P9" s="7">
        <f t="shared" si="5"/>
        <v>733.83542783999985</v>
      </c>
      <c r="Q9" s="7">
        <f t="shared" si="6"/>
        <v>74.865168179999984</v>
      </c>
      <c r="R9" s="7">
        <f t="shared" si="7"/>
        <v>808.70059601999981</v>
      </c>
      <c r="S9" s="7"/>
      <c r="T9" s="7">
        <f t="shared" si="8"/>
        <v>0.862608784384164</v>
      </c>
      <c r="U9" s="7">
        <f t="shared" si="9"/>
        <v>0.862608784384164</v>
      </c>
      <c r="V9" s="7"/>
      <c r="W9" s="7">
        <f t="shared" si="0"/>
        <v>35167.382574838623</v>
      </c>
      <c r="X9" s="7">
        <f t="shared" si="1"/>
        <v>107632.25286077631</v>
      </c>
      <c r="Y9" s="7">
        <f t="shared" si="10"/>
        <v>142799.63543561494</v>
      </c>
      <c r="Z9" s="7"/>
      <c r="AA9" s="7">
        <f t="shared" si="11"/>
        <v>633.01288634709522</v>
      </c>
      <c r="AB9" s="7">
        <f t="shared" si="12"/>
        <v>64.57935171646578</v>
      </c>
      <c r="AC9" s="8">
        <f t="shared" si="13"/>
        <v>697.59223806356101</v>
      </c>
    </row>
    <row r="10" spans="1:29" ht="17" thickBot="1" x14ac:dyDescent="0.25">
      <c r="A10" s="22" t="s">
        <v>6</v>
      </c>
      <c r="B10" s="30" t="s">
        <v>7</v>
      </c>
      <c r="C10" s="23" t="s">
        <v>8</v>
      </c>
      <c r="F10" s="6">
        <f t="shared" si="14"/>
        <v>7</v>
      </c>
      <c r="G10" s="7"/>
      <c r="H10" s="7" cm="1">
        <f t="array" ref="H10:J10">MMULT(H9:J9,$B$5:$D$7)</f>
        <v>782.7577896959998</v>
      </c>
      <c r="I10" s="7">
        <v>142.99769721299998</v>
      </c>
      <c r="J10" s="7">
        <v>74.244513091000002</v>
      </c>
      <c r="K10" s="7"/>
      <c r="L10" s="7">
        <f t="shared" si="2"/>
        <v>39137.889484799991</v>
      </c>
      <c r="M10" s="7">
        <f t="shared" si="3"/>
        <v>142997.69721299998</v>
      </c>
      <c r="N10" s="7">
        <f t="shared" si="4"/>
        <v>182135.58669779997</v>
      </c>
      <c r="O10" s="7"/>
      <c r="P10" s="7">
        <f t="shared" si="5"/>
        <v>704.48201072639984</v>
      </c>
      <c r="Q10" s="7">
        <f t="shared" si="6"/>
        <v>85.798618327799986</v>
      </c>
      <c r="R10" s="7">
        <f t="shared" si="7"/>
        <v>790.28062905419984</v>
      </c>
      <c r="S10" s="7"/>
      <c r="T10" s="7">
        <f t="shared" si="8"/>
        <v>0.83748425668365434</v>
      </c>
      <c r="U10" s="7">
        <f t="shared" si="9"/>
        <v>0.83748425668365434</v>
      </c>
      <c r="V10" s="7"/>
      <c r="W10" s="7">
        <f t="shared" si="0"/>
        <v>32777.366283344731</v>
      </c>
      <c r="X10" s="7">
        <f t="shared" si="1"/>
        <v>119758.32015790355</v>
      </c>
      <c r="Y10" s="7">
        <f t="shared" si="10"/>
        <v>152535.68644124828</v>
      </c>
      <c r="Z10" s="7"/>
      <c r="AA10" s="7">
        <f t="shared" si="11"/>
        <v>589.99259310020511</v>
      </c>
      <c r="AB10" s="7">
        <f t="shared" si="12"/>
        <v>71.85499209474213</v>
      </c>
      <c r="AC10" s="8">
        <f t="shared" si="13"/>
        <v>661.84758519494721</v>
      </c>
    </row>
    <row r="11" spans="1:29" x14ac:dyDescent="0.2">
      <c r="A11" s="31" t="s">
        <v>1</v>
      </c>
      <c r="B11" s="18">
        <v>50</v>
      </c>
      <c r="C11" s="19">
        <v>0.9</v>
      </c>
      <c r="F11" s="6">
        <f t="shared" si="14"/>
        <v>8</v>
      </c>
      <c r="G11" s="7"/>
      <c r="H11" s="7" cm="1">
        <f t="array" ref="H11:J11">MMULT(H10:J10,$B$5:$D$7)</f>
        <v>751.44747810815977</v>
      </c>
      <c r="I11" s="7">
        <v>159.33054604322996</v>
      </c>
      <c r="J11" s="7">
        <v>89.221975848610001</v>
      </c>
      <c r="K11" s="7"/>
      <c r="L11" s="7">
        <f t="shared" si="2"/>
        <v>37572.373905407985</v>
      </c>
      <c r="M11" s="7">
        <f t="shared" si="3"/>
        <v>159330.54604322996</v>
      </c>
      <c r="N11" s="7">
        <f t="shared" si="4"/>
        <v>196902.91994863795</v>
      </c>
      <c r="O11" s="7"/>
      <c r="P11" s="7">
        <f t="shared" si="5"/>
        <v>676.30273029734383</v>
      </c>
      <c r="Q11" s="7">
        <f t="shared" si="6"/>
        <v>95.598327625937969</v>
      </c>
      <c r="R11" s="7">
        <f t="shared" si="7"/>
        <v>771.90105792328177</v>
      </c>
      <c r="S11" s="7"/>
      <c r="T11" s="7">
        <f t="shared" si="8"/>
        <v>0.81309151134335378</v>
      </c>
      <c r="U11" s="7">
        <f t="shared" si="9"/>
        <v>0.81309151134335378</v>
      </c>
      <c r="V11" s="7"/>
      <c r="W11" s="7">
        <f t="shared" si="0"/>
        <v>30549.778283505766</v>
      </c>
      <c r="X11" s="7">
        <f t="shared" si="1"/>
        <v>129550.31448545166</v>
      </c>
      <c r="Y11" s="7">
        <f t="shared" si="10"/>
        <v>160100.09276895743</v>
      </c>
      <c r="Z11" s="7"/>
      <c r="AA11" s="7">
        <f t="shared" si="11"/>
        <v>549.89600910310389</v>
      </c>
      <c r="AB11" s="7">
        <f t="shared" si="12"/>
        <v>77.730188691270996</v>
      </c>
      <c r="AC11" s="8">
        <f t="shared" si="13"/>
        <v>627.62619779437489</v>
      </c>
    </row>
    <row r="12" spans="1:29" ht="17" thickBot="1" x14ac:dyDescent="0.25">
      <c r="A12" s="4" t="s">
        <v>4</v>
      </c>
      <c r="B12" s="20">
        <v>1000</v>
      </c>
      <c r="C12" s="21">
        <v>0.6</v>
      </c>
      <c r="F12" s="6">
        <f t="shared" si="14"/>
        <v>9</v>
      </c>
      <c r="G12" s="7"/>
      <c r="H12" s="7" cm="1">
        <f t="array" ref="H12:J12">MMULT(H11:J11,$B$5:$D$7)</f>
        <v>721.3895789838333</v>
      </c>
      <c r="I12" s="7">
        <v>173.90744308431326</v>
      </c>
      <c r="J12" s="7">
        <v>104.7029779318531</v>
      </c>
      <c r="K12" s="7"/>
      <c r="L12" s="7">
        <f t="shared" si="2"/>
        <v>36069.478949191667</v>
      </c>
      <c r="M12" s="7">
        <f t="shared" si="3"/>
        <v>173907.44308431324</v>
      </c>
      <c r="N12" s="7">
        <f t="shared" si="4"/>
        <v>209976.9220335049</v>
      </c>
      <c r="O12" s="7"/>
      <c r="P12" s="7">
        <f t="shared" si="5"/>
        <v>649.25062108545001</v>
      </c>
      <c r="Q12" s="7">
        <f t="shared" si="6"/>
        <v>104.34446585058795</v>
      </c>
      <c r="R12" s="7">
        <f t="shared" si="7"/>
        <v>753.595086936038</v>
      </c>
      <c r="S12" s="7"/>
      <c r="T12" s="7">
        <f t="shared" si="8"/>
        <v>0.78940923431393561</v>
      </c>
      <c r="U12" s="7">
        <f t="shared" si="9"/>
        <v>0.78940923431393561</v>
      </c>
      <c r="V12" s="7"/>
      <c r="W12" s="7">
        <f t="shared" si="0"/>
        <v>28473.579759384014</v>
      </c>
      <c r="X12" s="7">
        <f t="shared" si="1"/>
        <v>137284.14148668206</v>
      </c>
      <c r="Y12" s="7">
        <f t="shared" si="10"/>
        <v>165757.72124606607</v>
      </c>
      <c r="Z12" s="7"/>
      <c r="AA12" s="7">
        <f t="shared" si="11"/>
        <v>512.52443566891225</v>
      </c>
      <c r="AB12" s="7">
        <f t="shared" si="12"/>
        <v>82.370484892009245</v>
      </c>
      <c r="AC12" s="8">
        <f t="shared" si="13"/>
        <v>594.89492056092149</v>
      </c>
    </row>
    <row r="13" spans="1:29" ht="17" thickBot="1" x14ac:dyDescent="0.25">
      <c r="A13" s="32"/>
      <c r="B13" s="32"/>
      <c r="C13" s="32"/>
      <c r="F13" s="6">
        <f t="shared" si="14"/>
        <v>10</v>
      </c>
      <c r="G13" s="7"/>
      <c r="H13" s="7" cm="1">
        <f t="array" ref="H13:J13">MMULT(H12:J12,$B$5:$D$7)</f>
        <v>692.53399582447992</v>
      </c>
      <c r="I13" s="7">
        <v>186.85375829961259</v>
      </c>
      <c r="J13" s="7">
        <v>120.61224587590709</v>
      </c>
      <c r="K13" s="7"/>
      <c r="L13" s="7">
        <f t="shared" si="2"/>
        <v>34626.699791223997</v>
      </c>
      <c r="M13" s="7">
        <f t="shared" si="3"/>
        <v>186853.75829961259</v>
      </c>
      <c r="N13" s="7">
        <f t="shared" si="4"/>
        <v>221480.45809083659</v>
      </c>
      <c r="O13" s="7"/>
      <c r="P13" s="7">
        <f t="shared" si="5"/>
        <v>623.28059624203195</v>
      </c>
      <c r="Q13" s="7">
        <f t="shared" si="6"/>
        <v>112.11225497976756</v>
      </c>
      <c r="R13" s="7">
        <f t="shared" si="7"/>
        <v>735.39285122179945</v>
      </c>
      <c r="S13" s="7"/>
      <c r="T13" s="7">
        <f t="shared" si="8"/>
        <v>0.76641673234362684</v>
      </c>
      <c r="U13" s="7">
        <f t="shared" si="9"/>
        <v>0.76641673234362684</v>
      </c>
      <c r="V13" s="7"/>
      <c r="W13" s="7">
        <f t="shared" si="0"/>
        <v>26538.482105833642</v>
      </c>
      <c r="X13" s="7">
        <f t="shared" si="1"/>
        <v>143207.84686211491</v>
      </c>
      <c r="Y13" s="7">
        <f t="shared" si="10"/>
        <v>169746.32896794856</v>
      </c>
      <c r="Z13" s="7"/>
      <c r="AA13" s="7">
        <f t="shared" si="11"/>
        <v>477.69267790500555</v>
      </c>
      <c r="AB13" s="7">
        <f t="shared" si="12"/>
        <v>85.924708117268949</v>
      </c>
      <c r="AC13" s="8">
        <f t="shared" si="13"/>
        <v>563.61738602227456</v>
      </c>
    </row>
    <row r="14" spans="1:29" ht="17" thickBot="1" x14ac:dyDescent="0.25">
      <c r="A14" s="33" t="s">
        <v>52</v>
      </c>
      <c r="B14" s="35"/>
      <c r="F14" s="6">
        <f t="shared" si="14"/>
        <v>11</v>
      </c>
      <c r="G14" s="7"/>
      <c r="H14" s="7" cm="1">
        <f t="array" ref="H14:J14">MMULT(H13:J13,$B$5:$D$7)</f>
        <v>664.83263599150075</v>
      </c>
      <c r="I14" s="7">
        <v>198.28709025936635</v>
      </c>
      <c r="J14" s="7">
        <v>136.88027374913253</v>
      </c>
      <c r="K14" s="7"/>
      <c r="L14" s="7">
        <f t="shared" si="2"/>
        <v>33241.631799575036</v>
      </c>
      <c r="M14" s="7">
        <f t="shared" si="3"/>
        <v>198287.09025936635</v>
      </c>
      <c r="N14" s="7">
        <f t="shared" si="4"/>
        <v>231528.72205894138</v>
      </c>
      <c r="O14" s="7"/>
      <c r="P14" s="7">
        <f t="shared" si="5"/>
        <v>598.34937239235069</v>
      </c>
      <c r="Q14" s="7">
        <f t="shared" si="6"/>
        <v>118.97225415561981</v>
      </c>
      <c r="R14" s="7">
        <f t="shared" si="7"/>
        <v>717.32162654797048</v>
      </c>
      <c r="S14" s="7"/>
      <c r="T14" s="7">
        <f t="shared" si="8"/>
        <v>0.74409391489672505</v>
      </c>
      <c r="U14" s="7">
        <f t="shared" si="9"/>
        <v>0.74409391489672505</v>
      </c>
      <c r="V14" s="7"/>
      <c r="W14" s="7">
        <f t="shared" si="0"/>
        <v>24734.895943301257</v>
      </c>
      <c r="X14" s="7">
        <f t="shared" si="1"/>
        <v>147544.21726457219</v>
      </c>
      <c r="Y14" s="7">
        <f t="shared" si="10"/>
        <v>172279.11320787345</v>
      </c>
      <c r="Z14" s="7"/>
      <c r="AA14" s="7">
        <f t="shared" si="11"/>
        <v>445.22812697942265</v>
      </c>
      <c r="AB14" s="7">
        <f t="shared" si="12"/>
        <v>88.526530358743315</v>
      </c>
      <c r="AC14" s="8">
        <f t="shared" si="13"/>
        <v>533.754657338166</v>
      </c>
    </row>
    <row r="15" spans="1:29" ht="17" thickBot="1" x14ac:dyDescent="0.25">
      <c r="A15" s="90" t="s">
        <v>7</v>
      </c>
      <c r="B15" s="91">
        <v>0.03</v>
      </c>
      <c r="C15" s="89"/>
      <c r="F15" s="6">
        <f t="shared" si="14"/>
        <v>12</v>
      </c>
      <c r="G15" s="7"/>
      <c r="H15" s="7" cm="1">
        <f t="array" ref="H15:J15">MMULT(H14:J14,$B$5:$D$7)</f>
        <v>638.23933055184068</v>
      </c>
      <c r="I15" s="7">
        <v>208.31771482614306</v>
      </c>
      <c r="J15" s="7">
        <v>153.44295462201586</v>
      </c>
      <c r="K15" s="7"/>
      <c r="L15" s="7">
        <f t="shared" si="2"/>
        <v>31911.966527592034</v>
      </c>
      <c r="M15" s="7">
        <f t="shared" si="3"/>
        <v>208317.71482614306</v>
      </c>
      <c r="N15" s="7">
        <f t="shared" si="4"/>
        <v>240229.6813537351</v>
      </c>
      <c r="O15" s="7"/>
      <c r="P15" s="7">
        <f t="shared" si="5"/>
        <v>574.41539749665662</v>
      </c>
      <c r="Q15" s="7">
        <f t="shared" si="6"/>
        <v>124.99062889568583</v>
      </c>
      <c r="R15" s="7">
        <f t="shared" si="7"/>
        <v>699.40602639234248</v>
      </c>
      <c r="S15" s="7"/>
      <c r="T15" s="7">
        <f t="shared" si="8"/>
        <v>0.72242127659876221</v>
      </c>
      <c r="U15" s="7">
        <f t="shared" si="9"/>
        <v>0.72242127659876221</v>
      </c>
      <c r="V15" s="7"/>
      <c r="W15" s="7">
        <f t="shared" si="0"/>
        <v>23053.883597640008</v>
      </c>
      <c r="X15" s="7">
        <f t="shared" si="1"/>
        <v>150493.14948283916</v>
      </c>
      <c r="Y15" s="7">
        <f t="shared" si="10"/>
        <v>173547.03308047916</v>
      </c>
      <c r="Z15" s="7"/>
      <c r="AA15" s="7">
        <f t="shared" si="11"/>
        <v>414.96990475752011</v>
      </c>
      <c r="AB15" s="7">
        <f t="shared" si="12"/>
        <v>90.2958896897035</v>
      </c>
      <c r="AC15" s="8">
        <f t="shared" si="13"/>
        <v>505.26579444722358</v>
      </c>
    </row>
    <row r="16" spans="1:29" ht="17" thickBot="1" x14ac:dyDescent="0.25">
      <c r="A16" s="50" t="s">
        <v>8</v>
      </c>
      <c r="B16" s="92">
        <v>0.03</v>
      </c>
      <c r="C16" s="89"/>
      <c r="F16" s="6">
        <f t="shared" si="14"/>
        <v>13</v>
      </c>
      <c r="G16" s="7"/>
      <c r="H16" s="7" cm="1">
        <f t="array" ref="H16:J16">MMULT(H15:J15,$B$5:$D$7)</f>
        <v>612.70975732976706</v>
      </c>
      <c r="I16" s="7">
        <v>217.04900900139111</v>
      </c>
      <c r="J16" s="7">
        <v>170.24123366884143</v>
      </c>
      <c r="K16" s="7"/>
      <c r="L16" s="7">
        <f t="shared" si="2"/>
        <v>30635.487866488354</v>
      </c>
      <c r="M16" s="7">
        <f t="shared" si="3"/>
        <v>217049.00900139112</v>
      </c>
      <c r="N16" s="7">
        <f t="shared" si="4"/>
        <v>247684.49686787947</v>
      </c>
      <c r="O16" s="7"/>
      <c r="P16" s="7">
        <f t="shared" si="5"/>
        <v>551.43878159679036</v>
      </c>
      <c r="Q16" s="7">
        <f t="shared" si="6"/>
        <v>130.22940540083465</v>
      </c>
      <c r="R16" s="7">
        <f t="shared" si="7"/>
        <v>681.66818699762507</v>
      </c>
      <c r="S16" s="7"/>
      <c r="T16" s="7">
        <f t="shared" si="8"/>
        <v>0.70137988019297304</v>
      </c>
      <c r="U16" s="7">
        <f t="shared" si="9"/>
        <v>0.70137988019297304</v>
      </c>
      <c r="V16" s="7"/>
      <c r="W16" s="7">
        <f t="shared" si="0"/>
        <v>21487.114809450883</v>
      </c>
      <c r="X16" s="7">
        <f t="shared" si="1"/>
        <v>152233.80792939922</v>
      </c>
      <c r="Y16" s="7">
        <f t="shared" si="10"/>
        <v>173720.92273885012</v>
      </c>
      <c r="Z16" s="7"/>
      <c r="AA16" s="7">
        <f t="shared" si="11"/>
        <v>386.76806657011588</v>
      </c>
      <c r="AB16" s="7">
        <f t="shared" si="12"/>
        <v>91.340284757639523</v>
      </c>
      <c r="AC16" s="8">
        <f t="shared" si="13"/>
        <v>478.10835132775537</v>
      </c>
    </row>
    <row r="17" spans="1:29" x14ac:dyDescent="0.2">
      <c r="A17" s="48"/>
      <c r="B17" s="89"/>
      <c r="C17" s="89"/>
      <c r="F17" s="6">
        <f t="shared" si="14"/>
        <v>14</v>
      </c>
      <c r="G17" s="7"/>
      <c r="H17" s="7" cm="1">
        <f t="array" ref="H17:J17">MMULT(H16:J16,$B$5:$D$7)</f>
        <v>588.20136703657636</v>
      </c>
      <c r="I17" s="7">
        <v>224.57785127121457</v>
      </c>
      <c r="J17" s="7">
        <v>187.22078169220865</v>
      </c>
      <c r="K17" s="7"/>
      <c r="L17" s="7">
        <f t="shared" si="2"/>
        <v>29410.068351828817</v>
      </c>
      <c r="M17" s="7">
        <f t="shared" si="3"/>
        <v>224577.85127121457</v>
      </c>
      <c r="N17" s="7">
        <f t="shared" si="4"/>
        <v>253987.91962304339</v>
      </c>
      <c r="O17" s="7"/>
      <c r="P17" s="7">
        <f t="shared" si="5"/>
        <v>529.38123033291879</v>
      </c>
      <c r="Q17" s="7">
        <f t="shared" si="6"/>
        <v>134.74671076272872</v>
      </c>
      <c r="R17" s="7">
        <f t="shared" si="7"/>
        <v>664.12794109564754</v>
      </c>
      <c r="S17" s="7"/>
      <c r="T17" s="7">
        <f t="shared" si="8"/>
        <v>0.6809513399931777</v>
      </c>
      <c r="U17" s="7">
        <f t="shared" si="9"/>
        <v>0.6809513399931777</v>
      </c>
      <c r="V17" s="7"/>
      <c r="W17" s="7">
        <f t="shared" si="0"/>
        <v>20026.82545346878</v>
      </c>
      <c r="X17" s="7">
        <f t="shared" si="1"/>
        <v>152926.58875592213</v>
      </c>
      <c r="Y17" s="7">
        <f t="shared" si="10"/>
        <v>172953.4142093909</v>
      </c>
      <c r="Z17" s="7"/>
      <c r="AA17" s="7">
        <f t="shared" si="11"/>
        <v>360.48285816243811</v>
      </c>
      <c r="AB17" s="7">
        <f t="shared" si="12"/>
        <v>91.755953253553258</v>
      </c>
      <c r="AC17" s="8">
        <f t="shared" si="13"/>
        <v>452.23881141599134</v>
      </c>
    </row>
    <row r="18" spans="1:29" x14ac:dyDescent="0.2">
      <c r="F18" s="6">
        <f t="shared" si="14"/>
        <v>15</v>
      </c>
      <c r="G18" s="7"/>
      <c r="H18" s="7" cm="1">
        <f t="array" ref="H18:J18">MMULT(H17:J17,$B$5:$D$7)</f>
        <v>564.67331235511324</v>
      </c>
      <c r="I18" s="7">
        <v>230.9949997187511</v>
      </c>
      <c r="J18" s="7">
        <v>204.33168792613515</v>
      </c>
      <c r="K18" s="7"/>
      <c r="L18" s="7">
        <f t="shared" si="2"/>
        <v>28233.665617755662</v>
      </c>
      <c r="M18" s="7">
        <f t="shared" si="3"/>
        <v>230994.99971875109</v>
      </c>
      <c r="N18" s="7">
        <f t="shared" si="4"/>
        <v>259228.66533650676</v>
      </c>
      <c r="O18" s="7"/>
      <c r="P18" s="7">
        <f t="shared" si="5"/>
        <v>508.20598111960192</v>
      </c>
      <c r="Q18" s="7">
        <f t="shared" si="6"/>
        <v>138.59699983125066</v>
      </c>
      <c r="R18" s="7">
        <f t="shared" si="7"/>
        <v>646.80298095085254</v>
      </c>
      <c r="S18" s="7"/>
      <c r="T18" s="7">
        <f t="shared" si="8"/>
        <v>0.66111780581861912</v>
      </c>
      <c r="U18" s="7">
        <f t="shared" si="9"/>
        <v>0.66111780581861912</v>
      </c>
      <c r="V18" s="7"/>
      <c r="W18" s="7">
        <f t="shared" si="0"/>
        <v>18665.77906342721</v>
      </c>
      <c r="X18" s="7">
        <f t="shared" si="1"/>
        <v>152714.90736913326</v>
      </c>
      <c r="Y18" s="7">
        <f t="shared" si="10"/>
        <v>171380.68643256047</v>
      </c>
      <c r="Z18" s="7"/>
      <c r="AA18" s="7">
        <f t="shared" si="11"/>
        <v>335.98402314168982</v>
      </c>
      <c r="AB18" s="7">
        <f t="shared" si="12"/>
        <v>91.628944421479957</v>
      </c>
      <c r="AC18" s="8">
        <f t="shared" si="13"/>
        <v>427.61296756316978</v>
      </c>
    </row>
    <row r="19" spans="1:29" x14ac:dyDescent="0.2">
      <c r="F19" s="6">
        <f t="shared" si="14"/>
        <v>16</v>
      </c>
      <c r="G19" s="7"/>
      <c r="H19" s="7" cm="1">
        <f t="array" ref="H19:J19">MMULT(H18:J18,$B$5:$D$7)</f>
        <v>542.08637986090866</v>
      </c>
      <c r="I19" s="7">
        <v>236.38544910346695</v>
      </c>
      <c r="J19" s="7">
        <v>221.52817103562384</v>
      </c>
      <c r="K19" s="7"/>
      <c r="L19" s="7">
        <f t="shared" si="2"/>
        <v>27104.318993045432</v>
      </c>
      <c r="M19" s="7">
        <f t="shared" si="3"/>
        <v>236385.44910346696</v>
      </c>
      <c r="N19" s="7">
        <f t="shared" si="4"/>
        <v>263489.76809651242</v>
      </c>
      <c r="O19" s="7"/>
      <c r="P19" s="7">
        <f t="shared" si="5"/>
        <v>487.87774187481779</v>
      </c>
      <c r="Q19" s="7">
        <f t="shared" si="6"/>
        <v>141.83126946208017</v>
      </c>
      <c r="R19" s="7">
        <f t="shared" si="7"/>
        <v>629.7090113368979</v>
      </c>
      <c r="S19" s="7"/>
      <c r="T19" s="7">
        <f t="shared" si="8"/>
        <v>0.64186194739671765</v>
      </c>
      <c r="U19" s="7">
        <f t="shared" si="9"/>
        <v>0.64186194739671765</v>
      </c>
      <c r="V19" s="7"/>
      <c r="W19" s="7">
        <f t="shared" si="0"/>
        <v>17397.230971737983</v>
      </c>
      <c r="X19" s="7">
        <f t="shared" si="1"/>
        <v>151726.82469779899</v>
      </c>
      <c r="Y19" s="7">
        <f t="shared" si="10"/>
        <v>169124.05566953699</v>
      </c>
      <c r="Z19" s="7"/>
      <c r="AA19" s="7">
        <f t="shared" si="11"/>
        <v>313.15015749128366</v>
      </c>
      <c r="AB19" s="7">
        <f t="shared" si="12"/>
        <v>91.036094818679388</v>
      </c>
      <c r="AC19" s="8">
        <f t="shared" si="13"/>
        <v>404.18625230996304</v>
      </c>
    </row>
    <row r="20" spans="1:29" x14ac:dyDescent="0.2">
      <c r="F20" s="6">
        <f t="shared" si="14"/>
        <v>17</v>
      </c>
      <c r="G20" s="7"/>
      <c r="H20" s="7" cm="1">
        <f t="array" ref="H20:J20">MMULT(H19:J19,$B$5:$D$7)</f>
        <v>520.40292466647225</v>
      </c>
      <c r="I20" s="7">
        <v>240.82876804412086</v>
      </c>
      <c r="J20" s="7">
        <v>238.76830728940627</v>
      </c>
      <c r="K20" s="7"/>
      <c r="L20" s="7">
        <f t="shared" si="2"/>
        <v>26020.146233323612</v>
      </c>
      <c r="M20" s="7">
        <f t="shared" si="3"/>
        <v>240828.76804412086</v>
      </c>
      <c r="N20" s="7">
        <f t="shared" si="4"/>
        <v>266848.91427744448</v>
      </c>
      <c r="O20" s="7"/>
      <c r="P20" s="7">
        <f t="shared" si="5"/>
        <v>468.36263219982504</v>
      </c>
      <c r="Q20" s="7">
        <f t="shared" si="6"/>
        <v>144.49726082647251</v>
      </c>
      <c r="R20" s="7">
        <f t="shared" si="7"/>
        <v>612.85989302629753</v>
      </c>
      <c r="S20" s="7"/>
      <c r="T20" s="7">
        <f t="shared" si="8"/>
        <v>0.62316693922011412</v>
      </c>
      <c r="U20" s="7">
        <f t="shared" si="9"/>
        <v>0.62316693922011412</v>
      </c>
      <c r="V20" s="7"/>
      <c r="W20" s="7">
        <f t="shared" si="0"/>
        <v>16214.894886280057</v>
      </c>
      <c r="X20" s="7">
        <f t="shared" si="1"/>
        <v>150076.52625820562</v>
      </c>
      <c r="Y20" s="7">
        <f t="shared" si="10"/>
        <v>166291.42114448568</v>
      </c>
      <c r="Z20" s="7"/>
      <c r="AA20" s="7">
        <f t="shared" si="11"/>
        <v>291.86810795304103</v>
      </c>
      <c r="AB20" s="7">
        <f t="shared" si="12"/>
        <v>90.045915754923371</v>
      </c>
      <c r="AC20" s="8">
        <f t="shared" si="13"/>
        <v>381.91402370796442</v>
      </c>
    </row>
    <row r="21" spans="1:29" x14ac:dyDescent="0.2">
      <c r="F21" s="6">
        <f t="shared" si="14"/>
        <v>18</v>
      </c>
      <c r="G21" s="7"/>
      <c r="H21" s="7" cm="1">
        <f t="array" ref="H21:J21">MMULT(H20:J20,$B$5:$D$7)</f>
        <v>499.58680767981332</v>
      </c>
      <c r="I21" s="7">
        <v>244.39941738190899</v>
      </c>
      <c r="J21" s="7">
        <v>256.01377493827704</v>
      </c>
      <c r="K21" s="7"/>
      <c r="L21" s="7">
        <f t="shared" si="2"/>
        <v>24979.340383990668</v>
      </c>
      <c r="M21" s="7">
        <f t="shared" si="3"/>
        <v>244399.41738190898</v>
      </c>
      <c r="N21" s="7">
        <f t="shared" si="4"/>
        <v>269378.75776589965</v>
      </c>
      <c r="O21" s="7"/>
      <c r="P21" s="7">
        <f t="shared" si="5"/>
        <v>449.628126911832</v>
      </c>
      <c r="Q21" s="7">
        <f t="shared" si="6"/>
        <v>146.63965042914538</v>
      </c>
      <c r="R21" s="7">
        <f t="shared" si="7"/>
        <v>596.26777734097732</v>
      </c>
      <c r="S21" s="7"/>
      <c r="T21" s="7">
        <f t="shared" si="8"/>
        <v>0.60501644584477099</v>
      </c>
      <c r="U21" s="7">
        <f t="shared" si="9"/>
        <v>0.60501644584477099</v>
      </c>
      <c r="V21" s="7"/>
      <c r="W21" s="7">
        <f t="shared" si="0"/>
        <v>15112.91173866879</v>
      </c>
      <c r="X21" s="7">
        <f t="shared" si="1"/>
        <v>147865.66687093533</v>
      </c>
      <c r="Y21" s="7">
        <f t="shared" si="10"/>
        <v>162978.57860960413</v>
      </c>
      <c r="Z21" s="7"/>
      <c r="AA21" s="7">
        <f t="shared" si="11"/>
        <v>272.03241129603822</v>
      </c>
      <c r="AB21" s="7">
        <f t="shared" si="12"/>
        <v>88.719400122561183</v>
      </c>
      <c r="AC21" s="8">
        <f t="shared" si="13"/>
        <v>360.7518114185994</v>
      </c>
    </row>
    <row r="22" spans="1:29" x14ac:dyDescent="0.2">
      <c r="F22" s="6">
        <f t="shared" si="14"/>
        <v>19</v>
      </c>
      <c r="G22" s="7"/>
      <c r="H22" s="7" cm="1">
        <f t="array" ref="H22:J22">MMULT(H21:J21,$B$5:$D$7)</f>
        <v>479.60333537262079</v>
      </c>
      <c r="I22" s="7">
        <v>247.16705074320794</v>
      </c>
      <c r="J22" s="7">
        <v>273.22961388417065</v>
      </c>
      <c r="K22" s="7"/>
      <c r="L22" s="7">
        <f t="shared" si="2"/>
        <v>23980.166768631039</v>
      </c>
      <c r="M22" s="7">
        <f t="shared" si="3"/>
        <v>247167.05074320795</v>
      </c>
      <c r="N22" s="7">
        <f t="shared" si="4"/>
        <v>271147.217511839</v>
      </c>
      <c r="O22" s="7"/>
      <c r="P22" s="7">
        <f t="shared" si="5"/>
        <v>431.64300183535875</v>
      </c>
      <c r="Q22" s="7">
        <f t="shared" si="6"/>
        <v>148.30023044592477</v>
      </c>
      <c r="R22" s="7">
        <f t="shared" si="7"/>
        <v>579.94323228128349</v>
      </c>
      <c r="S22" s="7"/>
      <c r="T22" s="7">
        <f t="shared" si="8"/>
        <v>0.58739460761628248</v>
      </c>
      <c r="U22" s="7">
        <f t="shared" si="9"/>
        <v>0.58739460761628248</v>
      </c>
      <c r="V22" s="7"/>
      <c r="W22" s="7">
        <f t="shared" si="0"/>
        <v>14085.820649633046</v>
      </c>
      <c r="X22" s="7">
        <f t="shared" si="1"/>
        <v>145184.59278698041</v>
      </c>
      <c r="Y22" s="7">
        <f t="shared" si="10"/>
        <v>159270.41343661345</v>
      </c>
      <c r="Z22" s="7"/>
      <c r="AA22" s="7">
        <f t="shared" si="11"/>
        <v>253.54477169339484</v>
      </c>
      <c r="AB22" s="7">
        <f t="shared" si="12"/>
        <v>87.110755672188247</v>
      </c>
      <c r="AC22" s="8">
        <f t="shared" si="13"/>
        <v>340.65552736558311</v>
      </c>
    </row>
    <row r="23" spans="1:29" x14ac:dyDescent="0.2">
      <c r="F23" s="6">
        <f t="shared" si="14"/>
        <v>20</v>
      </c>
      <c r="G23" s="7"/>
      <c r="H23" s="7" cm="1">
        <f t="array" ref="H23:J23">MMULT(H22:J22,$B$5:$D$7)</f>
        <v>460.41920195771593</v>
      </c>
      <c r="I23" s="7">
        <v>249.19679826722614</v>
      </c>
      <c r="J23" s="7">
        <v>290.38399977505725</v>
      </c>
      <c r="K23" s="7"/>
      <c r="L23" s="7">
        <f t="shared" si="2"/>
        <v>23020.960097885796</v>
      </c>
      <c r="M23" s="7">
        <f t="shared" si="3"/>
        <v>249196.79826722614</v>
      </c>
      <c r="N23" s="7">
        <f t="shared" si="4"/>
        <v>272217.75836511195</v>
      </c>
      <c r="O23" s="7"/>
      <c r="P23" s="7">
        <f t="shared" si="5"/>
        <v>414.37728176194435</v>
      </c>
      <c r="Q23" s="7">
        <f t="shared" si="6"/>
        <v>149.51807896033569</v>
      </c>
      <c r="R23" s="7">
        <f t="shared" si="7"/>
        <v>563.89536072227997</v>
      </c>
      <c r="S23" s="7"/>
      <c r="T23" s="7">
        <f t="shared" si="8"/>
        <v>0.57028602681192475</v>
      </c>
      <c r="U23" s="7">
        <f t="shared" si="9"/>
        <v>0.57028602681192475</v>
      </c>
      <c r="V23" s="7"/>
      <c r="W23" s="7">
        <f t="shared" si="0"/>
        <v>13128.531867619149</v>
      </c>
      <c r="X23" s="7">
        <f t="shared" si="1"/>
        <v>142113.45197806912</v>
      </c>
      <c r="Y23" s="7">
        <f t="shared" si="10"/>
        <v>155241.98384568826</v>
      </c>
      <c r="Z23" s="7"/>
      <c r="AA23" s="7">
        <f t="shared" si="11"/>
        <v>236.3135736171447</v>
      </c>
      <c r="AB23" s="7">
        <f t="shared" si="12"/>
        <v>85.268071186841482</v>
      </c>
      <c r="AC23" s="8">
        <f t="shared" si="13"/>
        <v>321.58164480398619</v>
      </c>
    </row>
    <row r="24" spans="1:29" x14ac:dyDescent="0.2">
      <c r="F24" s="6">
        <f t="shared" si="14"/>
        <v>21</v>
      </c>
      <c r="G24" s="7"/>
      <c r="H24" s="7" cm="1">
        <f t="array" ref="H24:J24">MMULT(H23:J23,$B$5:$D$7)</f>
        <v>442.00243387940725</v>
      </c>
      <c r="I24" s="7">
        <v>250.5495344125963</v>
      </c>
      <c r="J24" s="7">
        <v>307.44803170799571</v>
      </c>
      <c r="K24" s="7"/>
      <c r="L24" s="7">
        <f t="shared" si="2"/>
        <v>22100.121693970363</v>
      </c>
      <c r="M24" s="7">
        <f t="shared" si="3"/>
        <v>250549.53441259629</v>
      </c>
      <c r="N24" s="7">
        <f t="shared" si="4"/>
        <v>272649.65610656666</v>
      </c>
      <c r="O24" s="7"/>
      <c r="P24" s="7">
        <f t="shared" si="5"/>
        <v>397.80219049146655</v>
      </c>
      <c r="Q24" s="7">
        <f t="shared" si="6"/>
        <v>150.32972064755776</v>
      </c>
      <c r="R24" s="7">
        <f t="shared" si="7"/>
        <v>548.13191113902428</v>
      </c>
      <c r="S24" s="7"/>
      <c r="T24" s="7">
        <f t="shared" si="8"/>
        <v>0.55367575418633475</v>
      </c>
      <c r="U24" s="7">
        <f t="shared" si="9"/>
        <v>0.55367575418633475</v>
      </c>
      <c r="V24" s="7"/>
      <c r="W24" s="7">
        <f t="shared" si="0"/>
        <v>12236.301546518818</v>
      </c>
      <c r="X24" s="7">
        <f t="shared" si="1"/>
        <v>138723.20242692929</v>
      </c>
      <c r="Y24" s="7">
        <f t="shared" si="10"/>
        <v>150959.5039734481</v>
      </c>
      <c r="Z24" s="7"/>
      <c r="AA24" s="7">
        <f t="shared" si="11"/>
        <v>220.25342783733873</v>
      </c>
      <c r="AB24" s="7">
        <f t="shared" si="12"/>
        <v>83.23392145615756</v>
      </c>
      <c r="AC24" s="8">
        <f t="shared" si="13"/>
        <v>303.48734929349632</v>
      </c>
    </row>
    <row r="25" spans="1:29" x14ac:dyDescent="0.2">
      <c r="F25" s="6">
        <f t="shared" si="14"/>
        <v>22</v>
      </c>
      <c r="G25" s="7"/>
      <c r="H25" s="7" cm="1">
        <f t="array" ref="H25:J25">MMULT(H24:J24,$B$5:$D$7)</f>
        <v>424.32233652423093</v>
      </c>
      <c r="I25" s="7">
        <v>251.28213070834869</v>
      </c>
      <c r="J25" s="7">
        <v>324.39553276741958</v>
      </c>
      <c r="K25" s="7"/>
      <c r="L25" s="7">
        <f t="shared" si="2"/>
        <v>21216.116826211546</v>
      </c>
      <c r="M25" s="7">
        <f t="shared" si="3"/>
        <v>251282.13070834868</v>
      </c>
      <c r="N25" s="7">
        <f t="shared" si="4"/>
        <v>272498.24753456021</v>
      </c>
      <c r="O25" s="7"/>
      <c r="P25" s="7">
        <f t="shared" si="5"/>
        <v>381.89010287180787</v>
      </c>
      <c r="Q25" s="7">
        <f t="shared" si="6"/>
        <v>150.76927842500922</v>
      </c>
      <c r="R25" s="7">
        <f t="shared" si="7"/>
        <v>532.65938129681706</v>
      </c>
      <c r="S25" s="7"/>
      <c r="T25" s="7">
        <f t="shared" si="8"/>
        <v>0.53754927590906287</v>
      </c>
      <c r="U25" s="7">
        <f t="shared" si="9"/>
        <v>0.53754927590906287</v>
      </c>
      <c r="V25" s="7"/>
      <c r="W25" s="7">
        <f t="shared" si="0"/>
        <v>11404.708237532102</v>
      </c>
      <c r="X25" s="7">
        <f t="shared" si="1"/>
        <v>135076.52741115933</v>
      </c>
      <c r="Y25" s="7">
        <f t="shared" si="10"/>
        <v>146481.23564869142</v>
      </c>
      <c r="Z25" s="7"/>
      <c r="AA25" s="7">
        <f t="shared" si="11"/>
        <v>205.28474827557784</v>
      </c>
      <c r="AB25" s="7">
        <f t="shared" si="12"/>
        <v>81.0459164466956</v>
      </c>
      <c r="AC25" s="8">
        <f t="shared" si="13"/>
        <v>286.33066472227347</v>
      </c>
    </row>
    <row r="26" spans="1:29" x14ac:dyDescent="0.2">
      <c r="F26" s="6">
        <f t="shared" si="14"/>
        <v>23</v>
      </c>
      <c r="G26" s="7"/>
      <c r="H26" s="7" cm="1">
        <f t="array" ref="H26:J26">MMULT(H25:J25,$B$5:$D$7)</f>
        <v>407.34944306326167</v>
      </c>
      <c r="I26" s="7">
        <v>251.44769426865818</v>
      </c>
      <c r="J26" s="7">
        <v>341.20286266807932</v>
      </c>
      <c r="K26" s="7"/>
      <c r="L26" s="7">
        <f t="shared" si="2"/>
        <v>20367.472153163082</v>
      </c>
      <c r="M26" s="7">
        <f t="shared" si="3"/>
        <v>251447.69426865818</v>
      </c>
      <c r="N26" s="7">
        <f t="shared" si="4"/>
        <v>271815.16642182128</v>
      </c>
      <c r="O26" s="7"/>
      <c r="P26" s="7">
        <f t="shared" si="5"/>
        <v>366.61449875693552</v>
      </c>
      <c r="Q26" s="7">
        <f t="shared" si="6"/>
        <v>150.8686165611949</v>
      </c>
      <c r="R26" s="7">
        <f t="shared" si="7"/>
        <v>517.48311531813044</v>
      </c>
      <c r="S26" s="7"/>
      <c r="T26" s="7">
        <f t="shared" si="8"/>
        <v>0.52189250088258532</v>
      </c>
      <c r="U26" s="7">
        <f t="shared" si="9"/>
        <v>0.52189250088258532</v>
      </c>
      <c r="V26" s="7"/>
      <c r="W26" s="7">
        <f t="shared" si="0"/>
        <v>10629.630978670695</v>
      </c>
      <c r="X26" s="7">
        <f t="shared" si="1"/>
        <v>131228.66600302974</v>
      </c>
      <c r="Y26" s="7">
        <f t="shared" si="10"/>
        <v>141858.29698170043</v>
      </c>
      <c r="Z26" s="7"/>
      <c r="AA26" s="7">
        <f t="shared" si="11"/>
        <v>191.33335761607253</v>
      </c>
      <c r="AB26" s="7">
        <f t="shared" si="12"/>
        <v>78.737199601817835</v>
      </c>
      <c r="AC26" s="8">
        <f t="shared" si="13"/>
        <v>270.07055721789038</v>
      </c>
    </row>
    <row r="27" spans="1:29" x14ac:dyDescent="0.2">
      <c r="F27" s="6">
        <f t="shared" si="14"/>
        <v>24</v>
      </c>
      <c r="G27" s="7"/>
      <c r="H27" s="7" cm="1">
        <f t="array" ref="H27:J27">MMULT(H26:J26,$B$5:$D$7)</f>
        <v>391.05546534073119</v>
      </c>
      <c r="I27" s="7">
        <v>251.09579284712311</v>
      </c>
      <c r="J27" s="7">
        <v>357.84874181214485</v>
      </c>
      <c r="K27" s="7"/>
      <c r="L27" s="7">
        <f t="shared" si="2"/>
        <v>19552.773267036559</v>
      </c>
      <c r="M27" s="7">
        <f t="shared" si="3"/>
        <v>251095.79284712311</v>
      </c>
      <c r="N27" s="7">
        <f t="shared" si="4"/>
        <v>270648.56611415965</v>
      </c>
      <c r="O27" s="7"/>
      <c r="P27" s="7">
        <f t="shared" si="5"/>
        <v>351.9499188066581</v>
      </c>
      <c r="Q27" s="7">
        <f t="shared" si="6"/>
        <v>150.65747570827386</v>
      </c>
      <c r="R27" s="7">
        <f t="shared" si="7"/>
        <v>502.60739451493197</v>
      </c>
      <c r="S27" s="7"/>
      <c r="T27" s="7">
        <f t="shared" si="8"/>
        <v>0.50669174842969444</v>
      </c>
      <c r="U27" s="7">
        <f t="shared" si="9"/>
        <v>0.50669174842969444</v>
      </c>
      <c r="V27" s="7"/>
      <c r="W27" s="7">
        <f t="shared" si="0"/>
        <v>9907.2288733241421</v>
      </c>
      <c r="X27" s="7">
        <f t="shared" si="1"/>
        <v>127228.16630104918</v>
      </c>
      <c r="Y27" s="7">
        <f t="shared" si="10"/>
        <v>137135.39517437332</v>
      </c>
      <c r="Z27" s="7"/>
      <c r="AA27" s="7">
        <f t="shared" si="11"/>
        <v>178.33011971983458</v>
      </c>
      <c r="AB27" s="7">
        <f t="shared" si="12"/>
        <v>76.336899780629508</v>
      </c>
      <c r="AC27" s="8">
        <f t="shared" si="13"/>
        <v>254.66701950046411</v>
      </c>
    </row>
    <row r="28" spans="1:29" x14ac:dyDescent="0.2">
      <c r="F28" s="6">
        <f t="shared" si="14"/>
        <v>25</v>
      </c>
      <c r="G28" s="7"/>
      <c r="H28" s="7" cm="1">
        <f t="array" ref="H28:J28">MMULT(H27:J27,$B$5:$D$7)</f>
        <v>375.41324672710192</v>
      </c>
      <c r="I28" s="7">
        <v>250.27266716498889</v>
      </c>
      <c r="J28" s="7">
        <v>374.31408610790834</v>
      </c>
      <c r="K28" s="7"/>
      <c r="L28" s="7">
        <f t="shared" si="2"/>
        <v>18770.662336355097</v>
      </c>
      <c r="M28" s="7">
        <f t="shared" si="3"/>
        <v>250272.66716498887</v>
      </c>
      <c r="N28" s="7">
        <f t="shared" si="4"/>
        <v>269043.32950134395</v>
      </c>
      <c r="O28" s="7"/>
      <c r="P28" s="7">
        <f t="shared" si="5"/>
        <v>337.87192205439175</v>
      </c>
      <c r="Q28" s="7">
        <f t="shared" si="6"/>
        <v>150.16360029899332</v>
      </c>
      <c r="R28" s="7">
        <f t="shared" si="7"/>
        <v>488.03552235338509</v>
      </c>
      <c r="S28" s="7"/>
      <c r="T28" s="7">
        <f t="shared" si="8"/>
        <v>0.49193373633950915</v>
      </c>
      <c r="U28" s="7">
        <f t="shared" si="9"/>
        <v>0.49193373633950915</v>
      </c>
      <c r="V28" s="7"/>
      <c r="W28" s="7">
        <f t="shared" si="0"/>
        <v>9233.9220566904623</v>
      </c>
      <c r="X28" s="7">
        <f t="shared" si="1"/>
        <v>123117.56826212737</v>
      </c>
      <c r="Y28" s="7">
        <f t="shared" si="10"/>
        <v>132351.49031881784</v>
      </c>
      <c r="Z28" s="7"/>
      <c r="AA28" s="7">
        <f t="shared" si="11"/>
        <v>166.21059702042834</v>
      </c>
      <c r="AB28" s="7">
        <f t="shared" si="12"/>
        <v>73.870540957276418</v>
      </c>
      <c r="AC28" s="8">
        <f t="shared" si="13"/>
        <v>240.08113797770477</v>
      </c>
    </row>
    <row r="29" spans="1:29" x14ac:dyDescent="0.2">
      <c r="F29" s="6">
        <f t="shared" si="14"/>
        <v>26</v>
      </c>
      <c r="G29" s="7"/>
      <c r="H29" s="7" cm="1">
        <f t="array" ref="H29:J29">MMULT(H28:J28,$B$5:$D$7)</f>
        <v>360.39671685801784</v>
      </c>
      <c r="I29" s="7">
        <v>249.02143120855249</v>
      </c>
      <c r="J29" s="7">
        <v>390.58185193342882</v>
      </c>
      <c r="K29" s="7"/>
      <c r="L29" s="7">
        <f t="shared" si="2"/>
        <v>18019.835842900891</v>
      </c>
      <c r="M29" s="7">
        <f t="shared" si="3"/>
        <v>249021.43120855247</v>
      </c>
      <c r="N29" s="7">
        <f t="shared" si="4"/>
        <v>267041.26705145335</v>
      </c>
      <c r="O29" s="7"/>
      <c r="P29" s="7">
        <f t="shared" si="5"/>
        <v>324.35704517221609</v>
      </c>
      <c r="Q29" s="7">
        <f t="shared" si="6"/>
        <v>149.41285872513149</v>
      </c>
      <c r="R29" s="7">
        <f t="shared" si="7"/>
        <v>473.7699038973476</v>
      </c>
      <c r="S29" s="7"/>
      <c r="T29" s="7">
        <f t="shared" si="8"/>
        <v>0.47760556926165937</v>
      </c>
      <c r="U29" s="7">
        <f t="shared" si="9"/>
        <v>0.47760556926165937</v>
      </c>
      <c r="V29" s="7"/>
      <c r="W29" s="7">
        <f t="shared" si="0"/>
        <v>8606.3739557503341</v>
      </c>
      <c r="X29" s="7">
        <f t="shared" si="1"/>
        <v>118934.02241071385</v>
      </c>
      <c r="Y29" s="7">
        <f t="shared" si="10"/>
        <v>127540.39636646418</v>
      </c>
      <c r="Z29" s="7"/>
      <c r="AA29" s="7">
        <f t="shared" si="11"/>
        <v>154.91473120350602</v>
      </c>
      <c r="AB29" s="7">
        <f t="shared" si="12"/>
        <v>71.360413446428311</v>
      </c>
      <c r="AC29" s="8">
        <f t="shared" si="13"/>
        <v>226.27514464993433</v>
      </c>
    </row>
    <row r="30" spans="1:29" x14ac:dyDescent="0.2">
      <c r="F30" s="6">
        <f t="shared" si="14"/>
        <v>27</v>
      </c>
      <c r="G30" s="7"/>
      <c r="H30" s="7" cm="1">
        <f t="array" ref="H30:J30">MMULT(H29:J29,$B$5:$D$7)</f>
        <v>345.98084818369711</v>
      </c>
      <c r="I30" s="7">
        <v>247.38226115386539</v>
      </c>
      <c r="J30" s="7">
        <v>406.6368906624366</v>
      </c>
      <c r="K30" s="7"/>
      <c r="L30" s="7">
        <f t="shared" si="2"/>
        <v>17299.042409184854</v>
      </c>
      <c r="M30" s="7">
        <f t="shared" si="3"/>
        <v>247382.26115386537</v>
      </c>
      <c r="N30" s="7">
        <f t="shared" si="4"/>
        <v>264681.30356305023</v>
      </c>
      <c r="O30" s="7"/>
      <c r="P30" s="7">
        <f t="shared" si="5"/>
        <v>311.38276336532738</v>
      </c>
      <c r="Q30" s="7">
        <f t="shared" si="6"/>
        <v>148.42935669231923</v>
      </c>
      <c r="R30" s="7">
        <f t="shared" si="7"/>
        <v>459.81212005764661</v>
      </c>
      <c r="S30" s="7"/>
      <c r="T30" s="7">
        <f t="shared" si="8"/>
        <v>0.46369472743850421</v>
      </c>
      <c r="U30" s="7">
        <f t="shared" si="9"/>
        <v>0.46369472743850421</v>
      </c>
      <c r="V30" s="7"/>
      <c r="W30" s="7">
        <f t="shared" si="0"/>
        <v>8021.4747548740961</v>
      </c>
      <c r="X30" s="7">
        <f t="shared" si="1"/>
        <v>114709.85015886246</v>
      </c>
      <c r="Y30" s="7">
        <f t="shared" si="10"/>
        <v>122731.32491373656</v>
      </c>
      <c r="Z30" s="7"/>
      <c r="AA30" s="7">
        <f t="shared" si="11"/>
        <v>144.38654558773374</v>
      </c>
      <c r="AB30" s="7">
        <f t="shared" si="12"/>
        <v>68.825910095317482</v>
      </c>
      <c r="AC30" s="8">
        <f t="shared" si="13"/>
        <v>213.21245568305122</v>
      </c>
    </row>
    <row r="31" spans="1:29" x14ac:dyDescent="0.2">
      <c r="F31" s="6">
        <f t="shared" si="14"/>
        <v>28</v>
      </c>
      <c r="G31" s="7"/>
      <c r="H31" s="7" cm="1">
        <f t="array" ref="H31:J31">MMULT(H30:J30,$B$5:$D$7)</f>
        <v>332.14161425634921</v>
      </c>
      <c r="I31" s="7">
        <v>245.39257354168302</v>
      </c>
      <c r="J31" s="7">
        <v>422.46581220196686</v>
      </c>
      <c r="K31" s="7"/>
      <c r="L31" s="7">
        <f t="shared" si="2"/>
        <v>16607.08071281746</v>
      </c>
      <c r="M31" s="7">
        <f t="shared" si="3"/>
        <v>245392.57354168303</v>
      </c>
      <c r="N31" s="7">
        <f t="shared" si="4"/>
        <v>261999.65425450049</v>
      </c>
      <c r="O31" s="7"/>
      <c r="P31" s="7">
        <f t="shared" si="5"/>
        <v>298.92745283071429</v>
      </c>
      <c r="Q31" s="7">
        <f t="shared" si="6"/>
        <v>147.2355441250098</v>
      </c>
      <c r="R31" s="7">
        <f t="shared" si="7"/>
        <v>446.16299695572411</v>
      </c>
      <c r="S31" s="7"/>
      <c r="T31" s="7">
        <f t="shared" si="8"/>
        <v>0.45018905576553808</v>
      </c>
      <c r="U31" s="7">
        <f t="shared" si="9"/>
        <v>0.45018905576553808</v>
      </c>
      <c r="V31" s="7"/>
      <c r="W31" s="7">
        <f t="shared" si="0"/>
        <v>7476.3259851253715</v>
      </c>
      <c r="X31" s="7">
        <f t="shared" si="1"/>
        <v>110473.05097460565</v>
      </c>
      <c r="Y31" s="7">
        <f t="shared" si="10"/>
        <v>117949.37695973102</v>
      </c>
      <c r="Z31" s="7"/>
      <c r="AA31" s="7">
        <f t="shared" si="11"/>
        <v>134.5738677322567</v>
      </c>
      <c r="AB31" s="7">
        <f t="shared" si="12"/>
        <v>66.283830584763379</v>
      </c>
      <c r="AC31" s="8">
        <f t="shared" si="13"/>
        <v>200.85769831702009</v>
      </c>
    </row>
    <row r="32" spans="1:29" x14ac:dyDescent="0.2">
      <c r="F32" s="6">
        <f t="shared" si="14"/>
        <v>29</v>
      </c>
      <c r="G32" s="7"/>
      <c r="H32" s="7" cm="1">
        <f t="array" ref="H32:J32">MMULT(H31:J31,$B$5:$D$7)</f>
        <v>318.85594968609524</v>
      </c>
      <c r="I32" s="7">
        <v>243.08719329228933</v>
      </c>
      <c r="J32" s="7">
        <v>438.05685702161452</v>
      </c>
      <c r="K32" s="7"/>
      <c r="L32" s="7">
        <f t="shared" si="2"/>
        <v>15942.797484304761</v>
      </c>
      <c r="M32" s="7">
        <f t="shared" si="3"/>
        <v>243087.19329228933</v>
      </c>
      <c r="N32" s="7">
        <f t="shared" si="4"/>
        <v>259029.99077659409</v>
      </c>
      <c r="O32" s="7"/>
      <c r="P32" s="7">
        <f t="shared" si="5"/>
        <v>286.97035471748575</v>
      </c>
      <c r="Q32" s="7">
        <f t="shared" si="6"/>
        <v>145.85231597537359</v>
      </c>
      <c r="R32" s="7">
        <f t="shared" si="7"/>
        <v>432.82267069285933</v>
      </c>
      <c r="S32" s="7"/>
      <c r="T32" s="7">
        <f t="shared" si="8"/>
        <v>0.43707675317042538</v>
      </c>
      <c r="U32" s="7">
        <f t="shared" si="9"/>
        <v>0.43707675317042538</v>
      </c>
      <c r="V32" s="7"/>
      <c r="W32" s="7">
        <f t="shared" si="0"/>
        <v>6968.2261608935505</v>
      </c>
      <c r="X32" s="7">
        <f t="shared" si="1"/>
        <v>106247.76118150543</v>
      </c>
      <c r="Y32" s="7">
        <f t="shared" si="10"/>
        <v>113215.98734239898</v>
      </c>
      <c r="Z32" s="7"/>
      <c r="AA32" s="7">
        <f t="shared" si="11"/>
        <v>125.42807089608394</v>
      </c>
      <c r="AB32" s="7">
        <f t="shared" si="12"/>
        <v>63.748656708903248</v>
      </c>
      <c r="AC32" s="8">
        <f t="shared" si="13"/>
        <v>189.17672760498718</v>
      </c>
    </row>
    <row r="33" spans="6:29" x14ac:dyDescent="0.2">
      <c r="F33" s="6">
        <f t="shared" si="14"/>
        <v>30</v>
      </c>
      <c r="G33" s="7"/>
      <c r="H33" s="7" cm="1">
        <f t="array" ref="H33:J33">MMULT(H32:J32,$B$5:$D$7)</f>
        <v>306.1017116986514</v>
      </c>
      <c r="I33" s="7">
        <v>240.49851211825771</v>
      </c>
      <c r="J33" s="7">
        <v>453.39977618308995</v>
      </c>
      <c r="K33" s="7"/>
      <c r="L33" s="7">
        <f t="shared" si="2"/>
        <v>15305.085584932571</v>
      </c>
      <c r="M33" s="7">
        <f t="shared" si="3"/>
        <v>240498.5121182577</v>
      </c>
      <c r="N33" s="7">
        <f t="shared" si="4"/>
        <v>255803.59770319026</v>
      </c>
      <c r="O33" s="7"/>
      <c r="P33" s="7">
        <f t="shared" si="5"/>
        <v>275.49154052878629</v>
      </c>
      <c r="Q33" s="7">
        <f t="shared" si="6"/>
        <v>144.29910727095461</v>
      </c>
      <c r="R33" s="7">
        <f t="shared" si="7"/>
        <v>419.7906477997409</v>
      </c>
      <c r="S33" s="7"/>
      <c r="T33" s="7">
        <f t="shared" si="8"/>
        <v>0.42434636230138384</v>
      </c>
      <c r="U33" s="7">
        <f t="shared" si="9"/>
        <v>0.42434636230138384</v>
      </c>
      <c r="V33" s="7"/>
      <c r="W33" s="7">
        <f t="shared" si="0"/>
        <v>6494.6573926774836</v>
      </c>
      <c r="X33" s="7">
        <f t="shared" si="1"/>
        <v>102054.66875627793</v>
      </c>
      <c r="Y33" s="7">
        <f t="shared" si="10"/>
        <v>108549.32614895541</v>
      </c>
      <c r="Z33" s="7"/>
      <c r="AA33" s="7">
        <f t="shared" si="11"/>
        <v>116.90383306819471</v>
      </c>
      <c r="AB33" s="7">
        <f t="shared" si="12"/>
        <v>61.232801253766752</v>
      </c>
      <c r="AC33" s="8">
        <f t="shared" si="13"/>
        <v>178.13663432196148</v>
      </c>
    </row>
    <row r="34" spans="6:29" x14ac:dyDescent="0.2">
      <c r="F34" s="6">
        <f t="shared" si="14"/>
        <v>31</v>
      </c>
      <c r="G34" s="7"/>
      <c r="H34" s="7" cm="1">
        <f t="array" ref="H34:J34">MMULT(H33:J33,$B$5:$D$7)</f>
        <v>293.85764323070532</v>
      </c>
      <c r="I34" s="7">
        <v>237.65663786330435</v>
      </c>
      <c r="J34" s="7">
        <v>468.48571890598936</v>
      </c>
      <c r="K34" s="7"/>
      <c r="L34" s="7">
        <f t="shared" si="2"/>
        <v>14692.882161535266</v>
      </c>
      <c r="M34" s="7">
        <f t="shared" si="3"/>
        <v>237656.63786330435</v>
      </c>
      <c r="N34" s="7">
        <f t="shared" si="4"/>
        <v>252349.52002483961</v>
      </c>
      <c r="O34" s="7"/>
      <c r="P34" s="7">
        <f t="shared" si="5"/>
        <v>264.47187890763479</v>
      </c>
      <c r="Q34" s="7">
        <f t="shared" si="6"/>
        <v>142.59398271798261</v>
      </c>
      <c r="R34" s="7">
        <f>SUM(P34:Q34)</f>
        <v>407.0658616256174</v>
      </c>
      <c r="S34" s="7"/>
      <c r="T34" s="7">
        <f t="shared" si="8"/>
        <v>0.41198675951590663</v>
      </c>
      <c r="U34" s="7">
        <f t="shared" si="9"/>
        <v>0.41198675951590663</v>
      </c>
      <c r="V34" s="7"/>
      <c r="W34" s="7">
        <f t="shared" si="0"/>
        <v>6053.272909679984</v>
      </c>
      <c r="X34" s="7">
        <f t="shared" si="1"/>
        <v>97911.388110748085</v>
      </c>
      <c r="Y34" s="7">
        <f t="shared" si="10"/>
        <v>103964.66102042807</v>
      </c>
      <c r="Z34" s="7"/>
      <c r="AA34" s="7">
        <f t="shared" si="11"/>
        <v>108.95891237423972</v>
      </c>
      <c r="AB34" s="7">
        <f t="shared" si="12"/>
        <v>58.746832866448848</v>
      </c>
      <c r="AC34" s="8">
        <f t="shared" si="13"/>
        <v>167.70574524068857</v>
      </c>
    </row>
    <row r="35" spans="6:29" x14ac:dyDescent="0.2">
      <c r="F35" s="6">
        <f t="shared" si="14"/>
        <v>32</v>
      </c>
      <c r="G35" s="7"/>
      <c r="H35" s="7" cm="1">
        <f t="array" ref="H35:J35">MMULT(H34:J34,$B$5:$D$7)</f>
        <v>282.10333750147709</v>
      </c>
      <c r="I35" s="7">
        <v>234.58953526706028</v>
      </c>
      <c r="J35" s="7">
        <v>483.30712723146161</v>
      </c>
      <c r="K35" s="7"/>
      <c r="L35" s="7">
        <f t="shared" si="2"/>
        <v>14105.166875073854</v>
      </c>
      <c r="M35" s="7">
        <f t="shared" si="3"/>
        <v>234589.53526706027</v>
      </c>
      <c r="N35" s="7">
        <f t="shared" si="4"/>
        <v>248694.70214213413</v>
      </c>
      <c r="O35" s="7"/>
      <c r="P35" s="7">
        <f t="shared" si="5"/>
        <v>253.89300375132939</v>
      </c>
      <c r="Q35" s="7">
        <f t="shared" si="6"/>
        <v>140.75372116023615</v>
      </c>
      <c r="R35" s="7">
        <f t="shared" ref="R35:R43" si="15">SUM(P35:Q35)</f>
        <v>394.64672491156557</v>
      </c>
      <c r="S35" s="7"/>
      <c r="T35" s="7">
        <f t="shared" si="8"/>
        <v>0.39998714516107442</v>
      </c>
      <c r="U35" s="7">
        <f t="shared" si="9"/>
        <v>0.39998714516107442</v>
      </c>
      <c r="V35" s="7"/>
      <c r="W35" s="7">
        <f t="shared" si="0"/>
        <v>5641.8854303813441</v>
      </c>
      <c r="X35" s="7">
        <f t="shared" si="1"/>
        <v>93832.798496134623</v>
      </c>
      <c r="Y35" s="7">
        <f t="shared" si="10"/>
        <v>99474.683926515965</v>
      </c>
      <c r="Z35" s="7"/>
      <c r="AA35" s="7">
        <f t="shared" si="11"/>
        <v>101.55393774686421</v>
      </c>
      <c r="AB35" s="7">
        <f t="shared" si="12"/>
        <v>56.299679097680773</v>
      </c>
      <c r="AC35" s="8">
        <f t="shared" si="13"/>
        <v>157.85361684454497</v>
      </c>
    </row>
    <row r="36" spans="6:29" x14ac:dyDescent="0.2">
      <c r="F36" s="6">
        <f t="shared" si="14"/>
        <v>33</v>
      </c>
      <c r="G36" s="7"/>
      <c r="H36" s="7" cm="1">
        <f t="array" ref="H36:J36">MMULT(H35:J35,$B$5:$D$7)</f>
        <v>270.81920400141797</v>
      </c>
      <c r="I36" s="7">
        <v>231.32315862875157</v>
      </c>
      <c r="J36" s="7">
        <v>497.85763736982938</v>
      </c>
      <c r="K36" s="7"/>
      <c r="L36" s="7">
        <f t="shared" si="2"/>
        <v>13540.960200070898</v>
      </c>
      <c r="M36" s="7">
        <f t="shared" si="3"/>
        <v>231323.15862875158</v>
      </c>
      <c r="N36" s="7">
        <f t="shared" si="4"/>
        <v>244864.11882882248</v>
      </c>
      <c r="O36" s="7"/>
      <c r="P36" s="7">
        <f t="shared" si="5"/>
        <v>243.73728360127618</v>
      </c>
      <c r="Q36" s="7">
        <f t="shared" si="6"/>
        <v>138.79389517725093</v>
      </c>
      <c r="R36" s="7">
        <f t="shared" si="15"/>
        <v>382.53117877852708</v>
      </c>
      <c r="S36" s="7"/>
      <c r="T36" s="7">
        <f t="shared" si="8"/>
        <v>0.38833703413696541</v>
      </c>
      <c r="U36" s="7">
        <f t="shared" si="9"/>
        <v>0.38833703413696541</v>
      </c>
      <c r="V36" s="7"/>
      <c r="W36" s="7">
        <f t="shared" si="0"/>
        <v>5258.4563234622228</v>
      </c>
      <c r="X36" s="7">
        <f t="shared" si="1"/>
        <v>89831.349349084165</v>
      </c>
      <c r="Y36" s="7">
        <f t="shared" si="10"/>
        <v>95089.805672546383</v>
      </c>
      <c r="Z36" s="7"/>
      <c r="AA36" s="7">
        <f t="shared" si="11"/>
        <v>94.652213822320007</v>
      </c>
      <c r="AB36" s="7">
        <f t="shared" si="12"/>
        <v>53.898809609450495</v>
      </c>
      <c r="AC36" s="8">
        <f t="shared" si="13"/>
        <v>148.55102343177049</v>
      </c>
    </row>
    <row r="37" spans="6:29" x14ac:dyDescent="0.2">
      <c r="F37" s="6">
        <f t="shared" si="14"/>
        <v>34</v>
      </c>
      <c r="G37" s="7"/>
      <c r="H37" s="7" cm="1">
        <f t="array" ref="H37:J37">MMULT(H36:J36,$B$5:$D$7)</f>
        <v>259.98643584136124</v>
      </c>
      <c r="I37" s="7">
        <v>227.88157681735652</v>
      </c>
      <c r="J37" s="7">
        <v>512.13198734128116</v>
      </c>
      <c r="K37" s="7"/>
      <c r="L37" s="7">
        <f t="shared" si="2"/>
        <v>12999.321792068062</v>
      </c>
      <c r="M37" s="7">
        <f t="shared" si="3"/>
        <v>227881.57681735652</v>
      </c>
      <c r="N37" s="7">
        <f t="shared" si="4"/>
        <v>240880.89860942459</v>
      </c>
      <c r="O37" s="7"/>
      <c r="P37" s="7">
        <f t="shared" si="5"/>
        <v>233.98779225722512</v>
      </c>
      <c r="Q37" s="7">
        <f t="shared" si="6"/>
        <v>136.7289460904139</v>
      </c>
      <c r="R37" s="7">
        <f t="shared" si="15"/>
        <v>370.71673834763902</v>
      </c>
      <c r="S37" s="7"/>
      <c r="T37" s="7">
        <f t="shared" si="8"/>
        <v>0.37702624673491786</v>
      </c>
      <c r="U37" s="7">
        <f t="shared" si="9"/>
        <v>0.37702624673491786</v>
      </c>
      <c r="V37" s="7"/>
      <c r="W37" s="7">
        <f t="shared" si="0"/>
        <v>4901.0855053628475</v>
      </c>
      <c r="X37" s="7">
        <f t="shared" si="1"/>
        <v>85917.33560748279</v>
      </c>
      <c r="Y37" s="7">
        <f t="shared" si="10"/>
        <v>90818.421112845637</v>
      </c>
      <c r="Z37" s="7"/>
      <c r="AA37" s="7">
        <f t="shared" si="11"/>
        <v>88.219539096531264</v>
      </c>
      <c r="AB37" s="7">
        <f t="shared" si="12"/>
        <v>51.550401364489673</v>
      </c>
      <c r="AC37" s="8">
        <f t="shared" si="13"/>
        <v>139.76994046102095</v>
      </c>
    </row>
    <row r="38" spans="6:29" x14ac:dyDescent="0.2">
      <c r="F38" s="6">
        <f t="shared" si="14"/>
        <v>35</v>
      </c>
      <c r="G38" s="7"/>
      <c r="H38" s="7" cm="1">
        <f t="array" ref="H38:J38">MMULT(H37:J37,$B$5:$D$7)</f>
        <v>249.58697840770679</v>
      </c>
      <c r="I38" s="7">
        <v>224.2870910517295</v>
      </c>
      <c r="J38" s="7">
        <v>526.12593054056265</v>
      </c>
      <c r="K38" s="7"/>
      <c r="L38" s="7">
        <f t="shared" si="2"/>
        <v>12479.348920385341</v>
      </c>
      <c r="M38" s="7">
        <f t="shared" si="3"/>
        <v>224287.09105172951</v>
      </c>
      <c r="N38" s="7">
        <f t="shared" si="4"/>
        <v>236766.43997211487</v>
      </c>
      <c r="O38" s="7"/>
      <c r="P38" s="7">
        <f t="shared" si="5"/>
        <v>224.62828056693613</v>
      </c>
      <c r="Q38" s="7">
        <f t="shared" si="6"/>
        <v>134.57225463103771</v>
      </c>
      <c r="R38" s="7">
        <f t="shared" si="15"/>
        <v>359.20053519797386</v>
      </c>
      <c r="S38" s="7"/>
      <c r="T38" s="7">
        <f t="shared" si="8"/>
        <v>0.36604489974263871</v>
      </c>
      <c r="U38" s="7">
        <f t="shared" si="9"/>
        <v>0.36604489974263871</v>
      </c>
      <c r="V38" s="7"/>
      <c r="W38" s="7">
        <f t="shared" si="0"/>
        <v>4568.0020244158586</v>
      </c>
      <c r="X38" s="7">
        <f t="shared" si="1"/>
        <v>82099.14575759841</v>
      </c>
      <c r="Y38" s="7">
        <f t="shared" si="10"/>
        <v>86667.147782014275</v>
      </c>
      <c r="Z38" s="7"/>
      <c r="AA38" s="7">
        <f t="shared" si="11"/>
        <v>82.224036439485459</v>
      </c>
      <c r="AB38" s="7">
        <f t="shared" si="12"/>
        <v>49.259487454559043</v>
      </c>
      <c r="AC38" s="8">
        <f t="shared" si="13"/>
        <v>131.48352389404451</v>
      </c>
    </row>
    <row r="39" spans="6:29" x14ac:dyDescent="0.2">
      <c r="F39" s="6">
        <f t="shared" si="14"/>
        <v>36</v>
      </c>
      <c r="G39" s="7"/>
      <c r="H39" s="7" cm="1">
        <f t="array" ref="H39:J39">MMULT(H38:J38,$B$5:$D$7)</f>
        <v>239.6034992713985</v>
      </c>
      <c r="I39" s="7">
        <v>220.56034585137422</v>
      </c>
      <c r="J39" s="7">
        <v>539.83615487722614</v>
      </c>
      <c r="K39" s="7"/>
      <c r="L39" s="7">
        <f t="shared" si="2"/>
        <v>11980.174963569925</v>
      </c>
      <c r="M39" s="7">
        <f t="shared" si="3"/>
        <v>220560.34585137421</v>
      </c>
      <c r="N39" s="7">
        <f t="shared" si="4"/>
        <v>232540.52081494415</v>
      </c>
      <c r="O39" s="7"/>
      <c r="P39" s="7">
        <f t="shared" si="5"/>
        <v>215.64314934425866</v>
      </c>
      <c r="Q39" s="7">
        <f t="shared" si="6"/>
        <v>132.33620751082452</v>
      </c>
      <c r="R39" s="7">
        <f t="shared" si="15"/>
        <v>347.97935685508321</v>
      </c>
      <c r="S39" s="7"/>
      <c r="T39" s="7">
        <f t="shared" si="8"/>
        <v>0.35538339780838712</v>
      </c>
      <c r="U39" s="7">
        <f t="shared" si="9"/>
        <v>0.35538339780838712</v>
      </c>
      <c r="V39" s="7"/>
      <c r="W39" s="7">
        <f t="shared" si="0"/>
        <v>4257.5552848924508</v>
      </c>
      <c r="X39" s="7">
        <f t="shared" si="1"/>
        <v>78383.48513045437</v>
      </c>
      <c r="Y39" s="7">
        <f t="shared" si="10"/>
        <v>82641.040415346826</v>
      </c>
      <c r="Z39" s="7"/>
      <c r="AA39" s="7">
        <f t="shared" si="11"/>
        <v>76.63599512806411</v>
      </c>
      <c r="AB39" s="7">
        <f t="shared" si="12"/>
        <v>47.030091078272619</v>
      </c>
      <c r="AC39" s="8">
        <f t="shared" si="13"/>
        <v>123.66608620633673</v>
      </c>
    </row>
    <row r="40" spans="6:29" x14ac:dyDescent="0.2">
      <c r="F40" s="6">
        <f t="shared" si="14"/>
        <v>37</v>
      </c>
      <c r="G40" s="7"/>
      <c r="H40" s="7" cm="1">
        <f t="array" ref="H40:J40">MMULT(H39:J39,$B$5:$D$7)</f>
        <v>230.01935930054256</v>
      </c>
      <c r="I40" s="7">
        <v>216.72043353694744</v>
      </c>
      <c r="J40" s="7">
        <v>553.26020716250878</v>
      </c>
      <c r="K40" s="7"/>
      <c r="L40" s="7">
        <f t="shared" si="2"/>
        <v>11500.967965027128</v>
      </c>
      <c r="M40" s="7">
        <f t="shared" si="3"/>
        <v>216720.43353694744</v>
      </c>
      <c r="N40" s="7">
        <f t="shared" si="4"/>
        <v>228221.40150197456</v>
      </c>
      <c r="O40" s="7"/>
      <c r="P40" s="7">
        <f t="shared" si="5"/>
        <v>207.0174233704883</v>
      </c>
      <c r="Q40" s="7">
        <f t="shared" si="6"/>
        <v>130.03226012216845</v>
      </c>
      <c r="R40" s="7">
        <f t="shared" si="15"/>
        <v>337.04968349265675</v>
      </c>
      <c r="S40" s="7"/>
      <c r="T40" s="7">
        <f t="shared" si="8"/>
        <v>0.34503242505668652</v>
      </c>
      <c r="U40" s="7">
        <f t="shared" si="9"/>
        <v>0.34503242505668652</v>
      </c>
      <c r="V40" s="7"/>
      <c r="W40" s="7">
        <f t="shared" si="0"/>
        <v>3968.2068674725751</v>
      </c>
      <c r="X40" s="7">
        <f t="shared" si="1"/>
        <v>74775.57674258943</v>
      </c>
      <c r="Y40" s="7">
        <f t="shared" si="10"/>
        <v>78743.783610062004</v>
      </c>
      <c r="Z40" s="7"/>
      <c r="AA40" s="7">
        <f t="shared" si="11"/>
        <v>71.427723614506348</v>
      </c>
      <c r="AB40" s="7">
        <f t="shared" si="12"/>
        <v>44.86534604555365</v>
      </c>
      <c r="AC40" s="8">
        <f t="shared" si="13"/>
        <v>116.29306966006</v>
      </c>
    </row>
    <row r="41" spans="6:29" x14ac:dyDescent="0.2">
      <c r="F41" s="6">
        <f t="shared" si="14"/>
        <v>38</v>
      </c>
      <c r="G41" s="7"/>
      <c r="H41" s="7" cm="1">
        <f t="array" ref="H41:J41">MMULT(H40:J40,$B$5:$D$7)</f>
        <v>220.81858492852086</v>
      </c>
      <c r="I41" s="7">
        <v>212.78499263911633</v>
      </c>
      <c r="J41" s="7">
        <v>566.39642243236153</v>
      </c>
      <c r="K41" s="7"/>
      <c r="L41" s="7">
        <f t="shared" si="2"/>
        <v>11040.929246426043</v>
      </c>
      <c r="M41" s="7">
        <f t="shared" si="3"/>
        <v>212784.99263911633</v>
      </c>
      <c r="N41" s="7">
        <f t="shared" si="4"/>
        <v>223825.92188554237</v>
      </c>
      <c r="O41" s="7"/>
      <c r="P41" s="7">
        <f t="shared" si="5"/>
        <v>198.73672643566877</v>
      </c>
      <c r="Q41" s="7">
        <f t="shared" si="6"/>
        <v>127.67099558346979</v>
      </c>
      <c r="R41" s="7">
        <f t="shared" si="15"/>
        <v>326.40772201913853</v>
      </c>
      <c r="S41" s="7"/>
      <c r="T41" s="7">
        <f t="shared" si="8"/>
        <v>0.33498293694823933</v>
      </c>
      <c r="U41" s="7">
        <f t="shared" si="9"/>
        <v>0.33498293694823933</v>
      </c>
      <c r="V41" s="7"/>
      <c r="W41" s="7">
        <f t="shared" si="0"/>
        <v>3698.5229056055068</v>
      </c>
      <c r="X41" s="7">
        <f t="shared" si="1"/>
        <v>71279.341772760672</v>
      </c>
      <c r="Y41" s="7">
        <f t="shared" si="10"/>
        <v>74977.864678366182</v>
      </c>
      <c r="Z41" s="7"/>
      <c r="AA41" s="7">
        <f t="shared" si="11"/>
        <v>66.573412300899122</v>
      </c>
      <c r="AB41" s="7">
        <f t="shared" si="12"/>
        <v>42.767605063656404</v>
      </c>
      <c r="AC41" s="8">
        <f t="shared" si="13"/>
        <v>109.34101736455553</v>
      </c>
    </row>
    <row r="42" spans="6:29" x14ac:dyDescent="0.2">
      <c r="F42" s="6">
        <f t="shared" si="14"/>
        <v>39</v>
      </c>
      <c r="G42" s="7"/>
      <c r="H42" s="7" cm="1">
        <f t="array" ref="H42:J42">MMULT(H41:J41,$B$5:$D$7)</f>
        <v>211.98584153138003</v>
      </c>
      <c r="I42" s="7">
        <v>208.77030055501612</v>
      </c>
      <c r="J42" s="7">
        <v>579.2438579136026</v>
      </c>
      <c r="K42" s="7"/>
      <c r="L42" s="7">
        <f t="shared" si="2"/>
        <v>10599.292076569001</v>
      </c>
      <c r="M42" s="7">
        <f t="shared" si="3"/>
        <v>208770.30055501612</v>
      </c>
      <c r="N42" s="7">
        <f t="shared" si="4"/>
        <v>219369.59263158511</v>
      </c>
      <c r="O42" s="7"/>
      <c r="P42" s="7">
        <f t="shared" si="5"/>
        <v>190.78725737824203</v>
      </c>
      <c r="Q42" s="7">
        <f t="shared" si="6"/>
        <v>125.26218033300967</v>
      </c>
      <c r="R42" s="7">
        <f t="shared" si="15"/>
        <v>316.0494377112517</v>
      </c>
      <c r="S42" s="7"/>
      <c r="T42" s="7">
        <f t="shared" si="8"/>
        <v>0.32522615237693137</v>
      </c>
      <c r="U42" s="7">
        <f t="shared" si="9"/>
        <v>0.32522615237693137</v>
      </c>
      <c r="V42" s="7"/>
      <c r="W42" s="7">
        <f t="shared" si="0"/>
        <v>3447.1669799818314</v>
      </c>
      <c r="X42" s="7">
        <f t="shared" si="1"/>
        <v>67897.561580083435</v>
      </c>
      <c r="Y42" s="7">
        <f t="shared" si="10"/>
        <v>71344.728560065269</v>
      </c>
      <c r="Z42" s="7"/>
      <c r="AA42" s="7">
        <f t="shared" si="11"/>
        <v>62.049005639672963</v>
      </c>
      <c r="AB42" s="7">
        <f t="shared" si="12"/>
        <v>40.738536948050054</v>
      </c>
      <c r="AC42" s="8">
        <f t="shared" si="13"/>
        <v>102.78754258772301</v>
      </c>
    </row>
    <row r="43" spans="6:29" ht="17" thickBot="1" x14ac:dyDescent="0.25">
      <c r="F43" s="9">
        <f t="shared" si="14"/>
        <v>40</v>
      </c>
      <c r="G43" s="10"/>
      <c r="H43" s="10" cm="1">
        <f t="array" ref="H43:J43">MMULT(H42:J42,$B$5:$D$7)</f>
        <v>203.50640787012483</v>
      </c>
      <c r="I43" s="10">
        <v>204.69136077320672</v>
      </c>
      <c r="J43" s="10">
        <v>591.80223135666722</v>
      </c>
      <c r="K43" s="10"/>
      <c r="L43" s="10">
        <f t="shared" si="2"/>
        <v>10175.320393506241</v>
      </c>
      <c r="M43" s="10">
        <f t="shared" si="3"/>
        <v>204691.36077320672</v>
      </c>
      <c r="N43" s="10">
        <f t="shared" si="4"/>
        <v>214866.68116671295</v>
      </c>
      <c r="O43" s="10"/>
      <c r="P43" s="10">
        <f t="shared" si="5"/>
        <v>183.15576708311235</v>
      </c>
      <c r="Q43" s="10">
        <f t="shared" si="6"/>
        <v>122.81481646392403</v>
      </c>
      <c r="R43" s="10">
        <f t="shared" si="15"/>
        <v>305.97058354703637</v>
      </c>
      <c r="S43" s="10"/>
      <c r="T43" s="10">
        <f t="shared" si="8"/>
        <v>0.31575354599702077</v>
      </c>
      <c r="U43" s="10">
        <f t="shared" si="9"/>
        <v>0.31575354599702077</v>
      </c>
      <c r="V43" s="10"/>
      <c r="W43" s="10">
        <f t="shared" si="0"/>
        <v>3212.8934959053963</v>
      </c>
      <c r="X43" s="10">
        <f t="shared" si="1"/>
        <v>64632.022999095498</v>
      </c>
      <c r="Y43" s="10">
        <f t="shared" si="10"/>
        <v>67844.9164950009</v>
      </c>
      <c r="Z43" s="10"/>
      <c r="AA43" s="10">
        <f t="shared" si="11"/>
        <v>57.83208292629714</v>
      </c>
      <c r="AB43" s="10">
        <f t="shared" si="12"/>
        <v>38.779213799457303</v>
      </c>
      <c r="AC43" s="8">
        <f t="shared" si="13"/>
        <v>96.611296725754443</v>
      </c>
    </row>
    <row r="44" spans="6:29" ht="17" thickBot="1" x14ac:dyDescent="0.25">
      <c r="F44" s="3"/>
    </row>
    <row r="45" spans="6:29" ht="17" thickBot="1" x14ac:dyDescent="0.25">
      <c r="L45" s="67">
        <f>SUM(L1:L43)/$H$4</f>
        <v>1005.7923105558491</v>
      </c>
      <c r="M45" s="68">
        <f>SUM(M1:M43)/$H$4</f>
        <v>8058.2680272571788</v>
      </c>
      <c r="N45" s="108">
        <f>SUM(N1:N43)/$H$4</f>
        <v>9064.060337813029</v>
      </c>
      <c r="O45" s="85"/>
      <c r="P45" s="109">
        <f>SUM(P1:P43)/H4</f>
        <v>18.104261590005283</v>
      </c>
      <c r="Q45" s="37">
        <f>SUM(Q1:Q43)/H4</f>
        <v>4.8349608163543083</v>
      </c>
      <c r="R45" s="38">
        <f>SUM(R1:R43)/H4</f>
        <v>22.939222406359598</v>
      </c>
      <c r="U45" s="85"/>
      <c r="V45" s="85"/>
      <c r="W45" s="67">
        <f t="shared" ref="W45:AC45" si="16">SUM(W1:W43)/$H$4</f>
        <v>691.65174634186849</v>
      </c>
      <c r="X45" s="68">
        <f t="shared" si="16"/>
        <v>4395.7861232304604</v>
      </c>
      <c r="Y45" s="108">
        <f>SUM(Y1:Y43)/$H$4</f>
        <v>5087.4378695723271</v>
      </c>
      <c r="AA45" s="109">
        <f t="shared" si="16"/>
        <v>12.44973143415363</v>
      </c>
      <c r="AB45" s="37">
        <f t="shared" si="16"/>
        <v>2.637471673938276</v>
      </c>
      <c r="AC45" s="38">
        <f t="shared" si="16"/>
        <v>15.087203108091904</v>
      </c>
    </row>
    <row r="46" spans="6:29" ht="17" thickBot="1" x14ac:dyDescent="0.25">
      <c r="N46" s="69" t="s">
        <v>14</v>
      </c>
      <c r="Q46" s="70" t="s">
        <v>15</v>
      </c>
      <c r="R46" s="107"/>
      <c r="W46" s="70" t="s">
        <v>54</v>
      </c>
      <c r="X46" s="110"/>
      <c r="Y46" s="107"/>
      <c r="AA46" s="70" t="s">
        <v>55</v>
      </c>
      <c r="AB46" s="110"/>
      <c r="AC46" s="107"/>
    </row>
  </sheetData>
  <hyperlinks>
    <hyperlink ref="C2" r:id="rId1" xr:uid="{7391F7E8-85A0-6C42-A6F8-2E698B6915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9CC2-5465-594B-A011-D234DC05D003}">
  <sheetPr codeName="Sheet3"/>
  <dimension ref="A1:V46"/>
  <sheetViews>
    <sheetView showGridLines="0" workbookViewId="0">
      <selection activeCell="A2" sqref="A2:D2"/>
    </sheetView>
  </sheetViews>
  <sheetFormatPr baseColWidth="10" defaultRowHeight="16" x14ac:dyDescent="0.2"/>
  <cols>
    <col min="1" max="1" width="15" bestFit="1" customWidth="1"/>
    <col min="8" max="8" width="9.1640625" customWidth="1"/>
    <col min="11" max="11" width="3.5" customWidth="1"/>
    <col min="15" max="15" width="6.5" customWidth="1"/>
    <col min="16" max="16" width="13.1640625" customWidth="1"/>
    <col min="17" max="17" width="12.83203125" customWidth="1"/>
    <col min="18" max="18" width="12.6640625" customWidth="1"/>
    <col min="19" max="19" width="5.5" customWidth="1"/>
  </cols>
  <sheetData>
    <row r="1" spans="1:22" x14ac:dyDescent="0.2">
      <c r="A1" s="42" t="s">
        <v>47</v>
      </c>
      <c r="B1" s="42"/>
      <c r="C1" s="42"/>
    </row>
    <row r="2" spans="1:22" ht="17" thickBot="1" x14ac:dyDescent="0.25">
      <c r="A2" s="42" t="s">
        <v>17</v>
      </c>
      <c r="B2" s="42" t="s">
        <v>29</v>
      </c>
      <c r="C2" s="64" t="s">
        <v>28</v>
      </c>
      <c r="D2" s="42"/>
      <c r="F2" s="12" t="s">
        <v>9</v>
      </c>
      <c r="G2" s="2"/>
      <c r="H2" s="2" t="s">
        <v>10</v>
      </c>
      <c r="I2" s="2"/>
      <c r="J2" s="1"/>
      <c r="K2" s="1"/>
      <c r="L2" s="1"/>
      <c r="M2" s="2" t="s">
        <v>46</v>
      </c>
      <c r="N2" s="1"/>
      <c r="O2" s="1"/>
      <c r="P2" s="12" t="s">
        <v>12</v>
      </c>
      <c r="Q2" s="2"/>
      <c r="R2" s="2"/>
      <c r="S2" s="2"/>
      <c r="T2" s="12" t="s">
        <v>8</v>
      </c>
      <c r="U2" s="2"/>
      <c r="V2" s="2"/>
    </row>
    <row r="3" spans="1:22" ht="17" thickBot="1" x14ac:dyDescent="0.25">
      <c r="A3" s="13" t="s">
        <v>0</v>
      </c>
      <c r="B3" s="1"/>
      <c r="C3" s="1"/>
      <c r="D3" s="1"/>
      <c r="F3" s="43"/>
      <c r="G3" s="44"/>
      <c r="H3" s="45" t="s">
        <v>11</v>
      </c>
      <c r="I3" s="45" t="s">
        <v>4</v>
      </c>
      <c r="J3" s="45" t="s">
        <v>3</v>
      </c>
      <c r="K3" s="45"/>
      <c r="L3" s="45" t="s">
        <v>11</v>
      </c>
      <c r="M3" s="45" t="s">
        <v>4</v>
      </c>
      <c r="N3" s="45" t="s">
        <v>3</v>
      </c>
      <c r="O3" s="45"/>
      <c r="P3" s="45" t="s">
        <v>11</v>
      </c>
      <c r="Q3" s="45" t="s">
        <v>4</v>
      </c>
      <c r="R3" s="45" t="s">
        <v>13</v>
      </c>
      <c r="S3" s="45"/>
      <c r="T3" s="45" t="s">
        <v>11</v>
      </c>
      <c r="U3" s="45" t="s">
        <v>4</v>
      </c>
      <c r="V3" s="46" t="s">
        <v>13</v>
      </c>
    </row>
    <row r="4" spans="1:22" ht="17" thickBot="1" x14ac:dyDescent="0.25">
      <c r="A4" s="36"/>
      <c r="B4" s="26" t="s">
        <v>1</v>
      </c>
      <c r="C4" s="24" t="s">
        <v>2</v>
      </c>
      <c r="D4" s="25" t="s">
        <v>3</v>
      </c>
      <c r="F4" s="6">
        <v>1</v>
      </c>
      <c r="G4" s="7"/>
      <c r="H4" s="7">
        <v>1000</v>
      </c>
      <c r="I4" s="7">
        <v>0</v>
      </c>
      <c r="J4" s="7">
        <v>0</v>
      </c>
      <c r="K4" s="7"/>
      <c r="L4" s="5">
        <f>0.5*(H4+H5)</f>
        <v>980</v>
      </c>
      <c r="M4" s="5">
        <f t="shared" ref="M4:N4" si="0">0.5*(I4+I5)</f>
        <v>15</v>
      </c>
      <c r="N4" s="5">
        <f t="shared" si="0"/>
        <v>5</v>
      </c>
      <c r="O4" s="7"/>
      <c r="P4" s="7">
        <f>H4*$B$11</f>
        <v>50000</v>
      </c>
      <c r="Q4" s="7">
        <f>I4*$B$12</f>
        <v>0</v>
      </c>
      <c r="R4" s="7">
        <f>SUM(P4:Q4)</f>
        <v>50000</v>
      </c>
      <c r="S4" s="7"/>
      <c r="T4" s="7">
        <f>H4*$C$11</f>
        <v>900</v>
      </c>
      <c r="U4" s="7">
        <f>I4*$C$12</f>
        <v>0</v>
      </c>
      <c r="V4" s="8">
        <f>SUM(T4:U4)</f>
        <v>900</v>
      </c>
    </row>
    <row r="5" spans="1:22" x14ac:dyDescent="0.2">
      <c r="A5" s="27" t="s">
        <v>1</v>
      </c>
      <c r="B5" s="14">
        <v>0.96</v>
      </c>
      <c r="C5" s="14">
        <v>0.03</v>
      </c>
      <c r="D5" s="15">
        <v>0.01</v>
      </c>
      <c r="F5" s="6">
        <f>F4+1</f>
        <v>2</v>
      </c>
      <c r="G5" s="7"/>
      <c r="H5" s="7" cm="1">
        <f t="array" ref="H5:J5">MMULT(H4:J4,$B$5:$D$7)</f>
        <v>960</v>
      </c>
      <c r="I5" s="7">
        <v>30</v>
      </c>
      <c r="J5" s="7">
        <v>10</v>
      </c>
      <c r="K5" s="7"/>
      <c r="L5" s="7">
        <f t="shared" ref="L5:L43" si="1">0.5*(H5+H6)</f>
        <v>940.8</v>
      </c>
      <c r="M5" s="7">
        <f t="shared" ref="M5:M43" si="2">0.5*(I5+I6)</f>
        <v>43.65</v>
      </c>
      <c r="N5" s="7">
        <f t="shared" ref="N5:N43" si="3">0.5*(J5+J6)</f>
        <v>15.55</v>
      </c>
      <c r="O5" s="7"/>
      <c r="P5" s="7">
        <f t="shared" ref="P5:P43" si="4">H5*$B$11</f>
        <v>48000</v>
      </c>
      <c r="Q5" s="7">
        <f t="shared" ref="Q5:Q43" si="5">I5*$B$12</f>
        <v>30000</v>
      </c>
      <c r="R5" s="7">
        <f t="shared" ref="R5:R43" si="6">SUM(P5:Q5)</f>
        <v>78000</v>
      </c>
      <c r="S5" s="7"/>
      <c r="T5" s="7">
        <f t="shared" ref="T5:T33" si="7">H5*$C$11</f>
        <v>864</v>
      </c>
      <c r="U5" s="7">
        <f t="shared" ref="U5:U33" si="8">I5*$C$12</f>
        <v>18</v>
      </c>
      <c r="V5" s="8">
        <f t="shared" ref="V5:V33" si="9">SUM(T5:U5)</f>
        <v>882</v>
      </c>
    </row>
    <row r="6" spans="1:22" x14ac:dyDescent="0.2">
      <c r="A6" s="28" t="s">
        <v>4</v>
      </c>
      <c r="B6" s="14">
        <v>0</v>
      </c>
      <c r="C6" s="14">
        <v>0.95</v>
      </c>
      <c r="D6" s="15">
        <v>0.05</v>
      </c>
      <c r="F6" s="6">
        <f t="shared" ref="F6:F43" si="10">F5+1</f>
        <v>3</v>
      </c>
      <c r="G6" s="7"/>
      <c r="H6" s="7" cm="1">
        <f t="array" ref="H6:J6">MMULT(H5:J5,$B$5:$D$7)</f>
        <v>921.59999999999991</v>
      </c>
      <c r="I6" s="7">
        <v>57.3</v>
      </c>
      <c r="J6" s="7">
        <v>21.1</v>
      </c>
      <c r="K6" s="7"/>
      <c r="L6" s="7">
        <f t="shared" si="1"/>
        <v>903.16799999999989</v>
      </c>
      <c r="M6" s="7">
        <f t="shared" si="2"/>
        <v>69.691499999999991</v>
      </c>
      <c r="N6" s="7">
        <f t="shared" si="3"/>
        <v>27.140499999999999</v>
      </c>
      <c r="O6" s="7"/>
      <c r="P6" s="7">
        <f t="shared" si="4"/>
        <v>46079.999999999993</v>
      </c>
      <c r="Q6" s="7">
        <f t="shared" si="5"/>
        <v>57300</v>
      </c>
      <c r="R6" s="7">
        <f t="shared" si="6"/>
        <v>103380</v>
      </c>
      <c r="S6" s="7"/>
      <c r="T6" s="7">
        <f t="shared" si="7"/>
        <v>829.43999999999994</v>
      </c>
      <c r="U6" s="7">
        <f t="shared" si="8"/>
        <v>34.379999999999995</v>
      </c>
      <c r="V6" s="8">
        <f t="shared" si="9"/>
        <v>863.81999999999994</v>
      </c>
    </row>
    <row r="7" spans="1:22" ht="17" thickBot="1" x14ac:dyDescent="0.25">
      <c r="A7" s="29" t="s">
        <v>3</v>
      </c>
      <c r="B7" s="16">
        <v>0</v>
      </c>
      <c r="C7" s="16">
        <v>0</v>
      </c>
      <c r="D7" s="17">
        <v>1</v>
      </c>
      <c r="F7" s="6">
        <f t="shared" si="10"/>
        <v>4</v>
      </c>
      <c r="G7" s="7"/>
      <c r="H7" s="7" cm="1">
        <f t="array" ref="H7:J7">MMULT(H6:J6,$B$5:$D$7)</f>
        <v>884.73599999999988</v>
      </c>
      <c r="I7" s="7">
        <v>82.082999999999998</v>
      </c>
      <c r="J7" s="7">
        <v>33.180999999999997</v>
      </c>
      <c r="K7" s="7"/>
      <c r="L7" s="7">
        <f t="shared" si="1"/>
        <v>867.04127999999992</v>
      </c>
      <c r="M7" s="7">
        <f t="shared" si="2"/>
        <v>93.301964999999996</v>
      </c>
      <c r="N7" s="7">
        <f t="shared" si="3"/>
        <v>39.656754999999997</v>
      </c>
      <c r="O7" s="7"/>
      <c r="P7" s="7">
        <f t="shared" si="4"/>
        <v>44236.799999999996</v>
      </c>
      <c r="Q7" s="7">
        <f t="shared" si="5"/>
        <v>82083</v>
      </c>
      <c r="R7" s="7">
        <f t="shared" si="6"/>
        <v>126319.79999999999</v>
      </c>
      <c r="S7" s="7"/>
      <c r="T7" s="7">
        <f t="shared" si="7"/>
        <v>796.26239999999996</v>
      </c>
      <c r="U7" s="7">
        <f t="shared" si="8"/>
        <v>49.2498</v>
      </c>
      <c r="V7" s="8">
        <f t="shared" si="9"/>
        <v>845.51220000000001</v>
      </c>
    </row>
    <row r="8" spans="1:22" ht="17" thickBot="1" x14ac:dyDescent="0.25">
      <c r="F8" s="6">
        <f t="shared" si="10"/>
        <v>5</v>
      </c>
      <c r="G8" s="7"/>
      <c r="H8" s="7" cm="1">
        <f t="array" ref="H8:J8">MMULT(H7:J7,$B$5:$D$7)</f>
        <v>849.34655999999984</v>
      </c>
      <c r="I8" s="7">
        <v>104.52092999999999</v>
      </c>
      <c r="J8" s="7">
        <v>46.132509999999996</v>
      </c>
      <c r="K8" s="7"/>
      <c r="L8" s="7">
        <f t="shared" si="1"/>
        <v>832.35962879999988</v>
      </c>
      <c r="M8" s="7">
        <f t="shared" si="2"/>
        <v>114.64810514999999</v>
      </c>
      <c r="N8" s="7">
        <f t="shared" si="3"/>
        <v>52.992266049999998</v>
      </c>
      <c r="O8" s="7"/>
      <c r="P8" s="7">
        <f t="shared" si="4"/>
        <v>42467.327999999994</v>
      </c>
      <c r="Q8" s="7">
        <f t="shared" si="5"/>
        <v>104520.93</v>
      </c>
      <c r="R8" s="7">
        <f t="shared" si="6"/>
        <v>146988.25799999997</v>
      </c>
      <c r="S8" s="7"/>
      <c r="T8" s="7">
        <f t="shared" si="7"/>
        <v>764.41190399999982</v>
      </c>
      <c r="U8" s="7">
        <f t="shared" si="8"/>
        <v>62.712557999999994</v>
      </c>
      <c r="V8" s="8">
        <f t="shared" si="9"/>
        <v>827.12446199999977</v>
      </c>
    </row>
    <row r="9" spans="1:22" ht="17" thickBot="1" x14ac:dyDescent="0.25">
      <c r="A9" s="33" t="s">
        <v>5</v>
      </c>
      <c r="B9" s="34"/>
      <c r="C9" s="35"/>
      <c r="F9" s="6">
        <f t="shared" si="10"/>
        <v>6</v>
      </c>
      <c r="G9" s="7"/>
      <c r="H9" s="7" cm="1">
        <f t="array" ref="H9:J9">MMULT(H8:J8,$B$5:$D$7)</f>
        <v>815.37269759999981</v>
      </c>
      <c r="I9" s="7">
        <v>124.77528029999998</v>
      </c>
      <c r="J9" s="7">
        <v>59.852022099999999</v>
      </c>
      <c r="K9" s="7"/>
      <c r="L9" s="7">
        <f t="shared" si="1"/>
        <v>799.06524364799975</v>
      </c>
      <c r="M9" s="7">
        <f t="shared" si="2"/>
        <v>133.88648875649997</v>
      </c>
      <c r="N9" s="7">
        <f t="shared" si="3"/>
        <v>67.048267595499993</v>
      </c>
      <c r="O9" s="7"/>
      <c r="P9" s="7">
        <f t="shared" si="4"/>
        <v>40768.634879999991</v>
      </c>
      <c r="Q9" s="7">
        <f t="shared" si="5"/>
        <v>124775.28029999998</v>
      </c>
      <c r="R9" s="7">
        <f t="shared" si="6"/>
        <v>165543.91517999998</v>
      </c>
      <c r="S9" s="7"/>
      <c r="T9" s="7">
        <f t="shared" si="7"/>
        <v>733.83542783999985</v>
      </c>
      <c r="U9" s="7">
        <f t="shared" si="8"/>
        <v>74.865168179999984</v>
      </c>
      <c r="V9" s="8">
        <f t="shared" si="9"/>
        <v>808.70059601999981</v>
      </c>
    </row>
    <row r="10" spans="1:22" ht="17" thickBot="1" x14ac:dyDescent="0.25">
      <c r="A10" s="22" t="s">
        <v>6</v>
      </c>
      <c r="B10" s="30" t="s">
        <v>7</v>
      </c>
      <c r="C10" s="23" t="s">
        <v>8</v>
      </c>
      <c r="F10" s="6">
        <f t="shared" si="10"/>
        <v>7</v>
      </c>
      <c r="G10" s="7"/>
      <c r="H10" s="7" cm="1">
        <f t="array" ref="H10:J10">MMULT(H9:J9,$B$5:$D$7)</f>
        <v>782.7577896959998</v>
      </c>
      <c r="I10" s="7">
        <v>142.99769721299998</v>
      </c>
      <c r="J10" s="7">
        <v>74.244513091000002</v>
      </c>
      <c r="K10" s="7"/>
      <c r="L10" s="7">
        <f t="shared" si="1"/>
        <v>767.10263390207979</v>
      </c>
      <c r="M10" s="7">
        <f t="shared" si="2"/>
        <v>151.16412162811497</v>
      </c>
      <c r="N10" s="7">
        <f t="shared" si="3"/>
        <v>81.733244469805001</v>
      </c>
      <c r="O10" s="7"/>
      <c r="P10" s="7">
        <f t="shared" si="4"/>
        <v>39137.889484799991</v>
      </c>
      <c r="Q10" s="7">
        <f t="shared" si="5"/>
        <v>142997.69721299998</v>
      </c>
      <c r="R10" s="7">
        <f t="shared" si="6"/>
        <v>182135.58669779997</v>
      </c>
      <c r="S10" s="7"/>
      <c r="T10" s="7">
        <f t="shared" si="7"/>
        <v>704.48201072639984</v>
      </c>
      <c r="U10" s="7">
        <f t="shared" si="8"/>
        <v>85.798618327799986</v>
      </c>
      <c r="V10" s="8">
        <f t="shared" si="9"/>
        <v>790.28062905419984</v>
      </c>
    </row>
    <row r="11" spans="1:22" x14ac:dyDescent="0.2">
      <c r="A11" s="31" t="s">
        <v>1</v>
      </c>
      <c r="B11" s="18">
        <v>50</v>
      </c>
      <c r="C11" s="19">
        <v>0.9</v>
      </c>
      <c r="F11" s="6">
        <f t="shared" si="10"/>
        <v>8</v>
      </c>
      <c r="G11" s="7"/>
      <c r="H11" s="7" cm="1">
        <f t="array" ref="H11:J11">MMULT(H10:J10,$B$5:$D$7)</f>
        <v>751.44747810815977</v>
      </c>
      <c r="I11" s="7">
        <v>159.33054604322996</v>
      </c>
      <c r="J11" s="7">
        <v>89.221975848610001</v>
      </c>
      <c r="K11" s="7"/>
      <c r="L11" s="7">
        <f t="shared" si="1"/>
        <v>736.41852854599654</v>
      </c>
      <c r="M11" s="7">
        <f t="shared" si="2"/>
        <v>166.61899456377159</v>
      </c>
      <c r="N11" s="7">
        <f t="shared" si="3"/>
        <v>96.962476890231557</v>
      </c>
      <c r="O11" s="7"/>
      <c r="P11" s="7">
        <f t="shared" si="4"/>
        <v>37572.373905407985</v>
      </c>
      <c r="Q11" s="7">
        <f t="shared" si="5"/>
        <v>159330.54604322996</v>
      </c>
      <c r="R11" s="7">
        <f t="shared" si="6"/>
        <v>196902.91994863795</v>
      </c>
      <c r="S11" s="7"/>
      <c r="T11" s="7">
        <f t="shared" si="7"/>
        <v>676.30273029734383</v>
      </c>
      <c r="U11" s="7">
        <f t="shared" si="8"/>
        <v>95.598327625937969</v>
      </c>
      <c r="V11" s="8">
        <f t="shared" si="9"/>
        <v>771.90105792328177</v>
      </c>
    </row>
    <row r="12" spans="1:22" ht="17" thickBot="1" x14ac:dyDescent="0.25">
      <c r="A12" s="4" t="s">
        <v>4</v>
      </c>
      <c r="B12" s="20">
        <v>1000</v>
      </c>
      <c r="C12" s="21">
        <v>0.6</v>
      </c>
      <c r="F12" s="6">
        <f t="shared" si="10"/>
        <v>9</v>
      </c>
      <c r="G12" s="7"/>
      <c r="H12" s="7" cm="1">
        <f t="array" ref="H12:J12">MMULT(H11:J11,$B$5:$D$7)</f>
        <v>721.3895789838333</v>
      </c>
      <c r="I12" s="7">
        <v>173.90744308431326</v>
      </c>
      <c r="J12" s="7">
        <v>104.7029779318531</v>
      </c>
      <c r="K12" s="7"/>
      <c r="L12" s="7">
        <f t="shared" si="1"/>
        <v>706.96178740415667</v>
      </c>
      <c r="M12" s="7">
        <f t="shared" si="2"/>
        <v>180.38060069196291</v>
      </c>
      <c r="N12" s="7">
        <f t="shared" si="3"/>
        <v>112.6576119038801</v>
      </c>
      <c r="O12" s="7"/>
      <c r="P12" s="7">
        <f t="shared" si="4"/>
        <v>36069.478949191667</v>
      </c>
      <c r="Q12" s="7">
        <f t="shared" si="5"/>
        <v>173907.44308431324</v>
      </c>
      <c r="R12" s="7">
        <f t="shared" si="6"/>
        <v>209976.9220335049</v>
      </c>
      <c r="S12" s="7"/>
      <c r="T12" s="7">
        <f t="shared" si="7"/>
        <v>649.25062108545001</v>
      </c>
      <c r="U12" s="7">
        <f t="shared" si="8"/>
        <v>104.34446585058795</v>
      </c>
      <c r="V12" s="8">
        <f t="shared" si="9"/>
        <v>753.595086936038</v>
      </c>
    </row>
    <row r="13" spans="1:22" x14ac:dyDescent="0.2">
      <c r="A13" s="32"/>
      <c r="B13" s="32"/>
      <c r="C13" s="32"/>
      <c r="F13" s="6">
        <f t="shared" si="10"/>
        <v>10</v>
      </c>
      <c r="G13" s="7"/>
      <c r="H13" s="7" cm="1">
        <f t="array" ref="H13:J13">MMULT(H12:J12,$B$5:$D$7)</f>
        <v>692.53399582447992</v>
      </c>
      <c r="I13" s="7">
        <v>186.85375829961259</v>
      </c>
      <c r="J13" s="7">
        <v>120.61224587590709</v>
      </c>
      <c r="K13" s="7"/>
      <c r="L13" s="7">
        <f t="shared" si="1"/>
        <v>678.68331590799039</v>
      </c>
      <c r="M13" s="7">
        <f t="shared" si="2"/>
        <v>192.57042427948949</v>
      </c>
      <c r="N13" s="7">
        <f t="shared" si="3"/>
        <v>128.74625981251981</v>
      </c>
      <c r="O13" s="7"/>
      <c r="P13" s="7">
        <f t="shared" si="4"/>
        <v>34626.699791223997</v>
      </c>
      <c r="Q13" s="7">
        <f t="shared" si="5"/>
        <v>186853.75829961259</v>
      </c>
      <c r="R13" s="7">
        <f t="shared" si="6"/>
        <v>221480.45809083659</v>
      </c>
      <c r="S13" s="7"/>
      <c r="T13" s="7">
        <f t="shared" si="7"/>
        <v>623.28059624203195</v>
      </c>
      <c r="U13" s="7">
        <f t="shared" si="8"/>
        <v>112.11225497976756</v>
      </c>
      <c r="V13" s="8">
        <f t="shared" si="9"/>
        <v>735.39285122179945</v>
      </c>
    </row>
    <row r="14" spans="1:22" x14ac:dyDescent="0.2">
      <c r="F14" s="6">
        <f t="shared" si="10"/>
        <v>11</v>
      </c>
      <c r="G14" s="7"/>
      <c r="H14" s="7" cm="1">
        <f t="array" ref="H14:J14">MMULT(H13:J13,$B$5:$D$7)</f>
        <v>664.83263599150075</v>
      </c>
      <c r="I14" s="7">
        <v>198.28709025936635</v>
      </c>
      <c r="J14" s="7">
        <v>136.88027374913253</v>
      </c>
      <c r="K14" s="7"/>
      <c r="L14" s="7">
        <f t="shared" si="1"/>
        <v>651.53598327167072</v>
      </c>
      <c r="M14" s="7">
        <f t="shared" si="2"/>
        <v>203.30240254275469</v>
      </c>
      <c r="N14" s="7">
        <f t="shared" si="3"/>
        <v>145.16161418557419</v>
      </c>
      <c r="O14" s="7"/>
      <c r="P14" s="7">
        <f t="shared" si="4"/>
        <v>33241.631799575036</v>
      </c>
      <c r="Q14" s="7">
        <f t="shared" si="5"/>
        <v>198287.09025936635</v>
      </c>
      <c r="R14" s="7">
        <f t="shared" si="6"/>
        <v>231528.72205894138</v>
      </c>
      <c r="S14" s="7"/>
      <c r="T14" s="7">
        <f t="shared" si="7"/>
        <v>598.34937239235069</v>
      </c>
      <c r="U14" s="7">
        <f t="shared" si="8"/>
        <v>118.97225415561981</v>
      </c>
      <c r="V14" s="8">
        <f t="shared" si="9"/>
        <v>717.32162654797048</v>
      </c>
    </row>
    <row r="15" spans="1:22" x14ac:dyDescent="0.2">
      <c r="F15" s="6">
        <f t="shared" si="10"/>
        <v>12</v>
      </c>
      <c r="G15" s="7"/>
      <c r="H15" s="7" cm="1">
        <f t="array" ref="H15:J15">MMULT(H14:J14,$B$5:$D$7)</f>
        <v>638.23933055184068</v>
      </c>
      <c r="I15" s="7">
        <v>208.31771482614306</v>
      </c>
      <c r="J15" s="7">
        <v>153.44295462201586</v>
      </c>
      <c r="K15" s="7"/>
      <c r="L15" s="7">
        <f t="shared" si="1"/>
        <v>625.47454394080387</v>
      </c>
      <c r="M15" s="7">
        <f t="shared" si="2"/>
        <v>212.6833619137671</v>
      </c>
      <c r="N15" s="7">
        <f t="shared" si="3"/>
        <v>161.84209414542863</v>
      </c>
      <c r="O15" s="7"/>
      <c r="P15" s="7">
        <f t="shared" si="4"/>
        <v>31911.966527592034</v>
      </c>
      <c r="Q15" s="7">
        <f t="shared" si="5"/>
        <v>208317.71482614306</v>
      </c>
      <c r="R15" s="7">
        <f t="shared" si="6"/>
        <v>240229.6813537351</v>
      </c>
      <c r="S15" s="7"/>
      <c r="T15" s="7">
        <f t="shared" si="7"/>
        <v>574.41539749665662</v>
      </c>
      <c r="U15" s="7">
        <f t="shared" si="8"/>
        <v>124.99062889568583</v>
      </c>
      <c r="V15" s="8">
        <f t="shared" si="9"/>
        <v>699.40602639234248</v>
      </c>
    </row>
    <row r="16" spans="1:22" x14ac:dyDescent="0.2">
      <c r="F16" s="6">
        <f t="shared" si="10"/>
        <v>13</v>
      </c>
      <c r="G16" s="7"/>
      <c r="H16" s="7" cm="1">
        <f t="array" ref="H16:J16">MMULT(H15:J15,$B$5:$D$7)</f>
        <v>612.70975732976706</v>
      </c>
      <c r="I16" s="7">
        <v>217.04900900139111</v>
      </c>
      <c r="J16" s="7">
        <v>170.24123366884143</v>
      </c>
      <c r="K16" s="7"/>
      <c r="L16" s="7">
        <f t="shared" si="1"/>
        <v>600.45556218317165</v>
      </c>
      <c r="M16" s="7">
        <f t="shared" si="2"/>
        <v>220.81343013630283</v>
      </c>
      <c r="N16" s="7">
        <f t="shared" si="3"/>
        <v>178.73100768052504</v>
      </c>
      <c r="O16" s="7"/>
      <c r="P16" s="7">
        <f t="shared" si="4"/>
        <v>30635.487866488354</v>
      </c>
      <c r="Q16" s="7">
        <f t="shared" si="5"/>
        <v>217049.00900139112</v>
      </c>
      <c r="R16" s="7">
        <f t="shared" si="6"/>
        <v>247684.49686787947</v>
      </c>
      <c r="S16" s="7"/>
      <c r="T16" s="7">
        <f t="shared" si="7"/>
        <v>551.43878159679036</v>
      </c>
      <c r="U16" s="7">
        <f t="shared" si="8"/>
        <v>130.22940540083465</v>
      </c>
      <c r="V16" s="8">
        <f t="shared" si="9"/>
        <v>681.66818699762507</v>
      </c>
    </row>
    <row r="17" spans="6:22" x14ac:dyDescent="0.2">
      <c r="F17" s="6">
        <f t="shared" si="10"/>
        <v>14</v>
      </c>
      <c r="G17" s="7"/>
      <c r="H17" s="7" cm="1">
        <f t="array" ref="H17:J17">MMULT(H16:J16,$B$5:$D$7)</f>
        <v>588.20136703657636</v>
      </c>
      <c r="I17" s="7">
        <v>224.57785127121457</v>
      </c>
      <c r="J17" s="7">
        <v>187.22078169220865</v>
      </c>
      <c r="K17" s="7"/>
      <c r="L17" s="7">
        <f t="shared" si="1"/>
        <v>576.4373396958448</v>
      </c>
      <c r="M17" s="7">
        <f t="shared" si="2"/>
        <v>227.78642549498284</v>
      </c>
      <c r="N17" s="7">
        <f t="shared" si="3"/>
        <v>195.77623480917191</v>
      </c>
      <c r="O17" s="7"/>
      <c r="P17" s="7">
        <f t="shared" si="4"/>
        <v>29410.068351828817</v>
      </c>
      <c r="Q17" s="7">
        <f t="shared" si="5"/>
        <v>224577.85127121457</v>
      </c>
      <c r="R17" s="7">
        <f t="shared" si="6"/>
        <v>253987.91962304339</v>
      </c>
      <c r="S17" s="7"/>
      <c r="T17" s="7">
        <f t="shared" si="7"/>
        <v>529.38123033291879</v>
      </c>
      <c r="U17" s="7">
        <f t="shared" si="8"/>
        <v>134.74671076272872</v>
      </c>
      <c r="V17" s="8">
        <f t="shared" si="9"/>
        <v>664.12794109564754</v>
      </c>
    </row>
    <row r="18" spans="6:22" x14ac:dyDescent="0.2">
      <c r="F18" s="6">
        <f t="shared" si="10"/>
        <v>15</v>
      </c>
      <c r="G18" s="7"/>
      <c r="H18" s="7" cm="1">
        <f t="array" ref="H18:J18">MMULT(H17:J17,$B$5:$D$7)</f>
        <v>564.67331235511324</v>
      </c>
      <c r="I18" s="7">
        <v>230.9949997187511</v>
      </c>
      <c r="J18" s="7">
        <v>204.33168792613515</v>
      </c>
      <c r="K18" s="7"/>
      <c r="L18" s="7">
        <f t="shared" si="1"/>
        <v>553.37984610801095</v>
      </c>
      <c r="M18" s="7">
        <f t="shared" si="2"/>
        <v>233.69022441110903</v>
      </c>
      <c r="N18" s="7">
        <f t="shared" si="3"/>
        <v>212.92992948087948</v>
      </c>
      <c r="O18" s="7"/>
      <c r="P18" s="7">
        <f t="shared" si="4"/>
        <v>28233.665617755662</v>
      </c>
      <c r="Q18" s="7">
        <f t="shared" si="5"/>
        <v>230994.99971875109</v>
      </c>
      <c r="R18" s="7">
        <f t="shared" si="6"/>
        <v>259228.66533650676</v>
      </c>
      <c r="S18" s="7"/>
      <c r="T18" s="7">
        <f t="shared" si="7"/>
        <v>508.20598111960192</v>
      </c>
      <c r="U18" s="7">
        <f t="shared" si="8"/>
        <v>138.59699983125066</v>
      </c>
      <c r="V18" s="8">
        <f t="shared" si="9"/>
        <v>646.80298095085254</v>
      </c>
    </row>
    <row r="19" spans="6:22" x14ac:dyDescent="0.2">
      <c r="F19" s="6">
        <f t="shared" si="10"/>
        <v>16</v>
      </c>
      <c r="G19" s="7"/>
      <c r="H19" s="7" cm="1">
        <f t="array" ref="H19:J19">MMULT(H18:J18,$B$5:$D$7)</f>
        <v>542.08637986090866</v>
      </c>
      <c r="I19" s="7">
        <v>236.38544910346695</v>
      </c>
      <c r="J19" s="7">
        <v>221.52817103562384</v>
      </c>
      <c r="K19" s="7"/>
      <c r="L19" s="7">
        <f t="shared" si="1"/>
        <v>531.24465226369045</v>
      </c>
      <c r="M19" s="7">
        <f t="shared" si="2"/>
        <v>238.60710857379391</v>
      </c>
      <c r="N19" s="7">
        <f t="shared" si="3"/>
        <v>230.14823916251504</v>
      </c>
      <c r="O19" s="7"/>
      <c r="P19" s="7">
        <f t="shared" si="4"/>
        <v>27104.318993045432</v>
      </c>
      <c r="Q19" s="7">
        <f t="shared" si="5"/>
        <v>236385.44910346696</v>
      </c>
      <c r="R19" s="7">
        <f t="shared" si="6"/>
        <v>263489.76809651242</v>
      </c>
      <c r="S19" s="7"/>
      <c r="T19" s="7">
        <f t="shared" si="7"/>
        <v>487.87774187481779</v>
      </c>
      <c r="U19" s="7">
        <f t="shared" si="8"/>
        <v>141.83126946208017</v>
      </c>
      <c r="V19" s="8">
        <f t="shared" si="9"/>
        <v>629.7090113368979</v>
      </c>
    </row>
    <row r="20" spans="6:22" x14ac:dyDescent="0.2">
      <c r="F20" s="6">
        <f t="shared" si="10"/>
        <v>17</v>
      </c>
      <c r="G20" s="7"/>
      <c r="H20" s="7" cm="1">
        <f t="array" ref="H20:J20">MMULT(H19:J19,$B$5:$D$7)</f>
        <v>520.40292466647225</v>
      </c>
      <c r="I20" s="7">
        <v>240.82876804412086</v>
      </c>
      <c r="J20" s="7">
        <v>238.76830728940627</v>
      </c>
      <c r="K20" s="7"/>
      <c r="L20" s="7">
        <f t="shared" si="1"/>
        <v>509.99486617314278</v>
      </c>
      <c r="M20" s="7">
        <f t="shared" si="2"/>
        <v>242.61409271301494</v>
      </c>
      <c r="N20" s="7">
        <f t="shared" si="3"/>
        <v>247.39104111384165</v>
      </c>
      <c r="O20" s="7"/>
      <c r="P20" s="7">
        <f t="shared" si="4"/>
        <v>26020.146233323612</v>
      </c>
      <c r="Q20" s="7">
        <f t="shared" si="5"/>
        <v>240828.76804412086</v>
      </c>
      <c r="R20" s="7">
        <f t="shared" si="6"/>
        <v>266848.91427744448</v>
      </c>
      <c r="S20" s="7"/>
      <c r="T20" s="7">
        <f t="shared" si="7"/>
        <v>468.36263219982504</v>
      </c>
      <c r="U20" s="7">
        <f t="shared" si="8"/>
        <v>144.49726082647251</v>
      </c>
      <c r="V20" s="8">
        <f t="shared" si="9"/>
        <v>612.85989302629753</v>
      </c>
    </row>
    <row r="21" spans="6:22" x14ac:dyDescent="0.2">
      <c r="F21" s="6">
        <f t="shared" si="10"/>
        <v>18</v>
      </c>
      <c r="G21" s="7"/>
      <c r="H21" s="7" cm="1">
        <f t="array" ref="H21:J21">MMULT(H20:J20,$B$5:$D$7)</f>
        <v>499.58680767981332</v>
      </c>
      <c r="I21" s="7">
        <v>244.39941738190899</v>
      </c>
      <c r="J21" s="7">
        <v>256.01377493827704</v>
      </c>
      <c r="K21" s="7"/>
      <c r="L21" s="7">
        <f t="shared" si="1"/>
        <v>489.59507152621705</v>
      </c>
      <c r="M21" s="7">
        <f t="shared" si="2"/>
        <v>245.78323406255845</v>
      </c>
      <c r="N21" s="7">
        <f t="shared" si="3"/>
        <v>264.62169441122387</v>
      </c>
      <c r="O21" s="7"/>
      <c r="P21" s="7">
        <f t="shared" si="4"/>
        <v>24979.340383990668</v>
      </c>
      <c r="Q21" s="7">
        <f t="shared" si="5"/>
        <v>244399.41738190898</v>
      </c>
      <c r="R21" s="7">
        <f t="shared" si="6"/>
        <v>269378.75776589965</v>
      </c>
      <c r="S21" s="7"/>
      <c r="T21" s="7">
        <f t="shared" si="7"/>
        <v>449.628126911832</v>
      </c>
      <c r="U21" s="7">
        <f t="shared" si="8"/>
        <v>146.63965042914538</v>
      </c>
      <c r="V21" s="8">
        <f t="shared" si="9"/>
        <v>596.26777734097732</v>
      </c>
    </row>
    <row r="22" spans="6:22" x14ac:dyDescent="0.2">
      <c r="F22" s="6">
        <f t="shared" si="10"/>
        <v>19</v>
      </c>
      <c r="G22" s="7"/>
      <c r="H22" s="7" cm="1">
        <f t="array" ref="H22:J22">MMULT(H21:J21,$B$5:$D$7)</f>
        <v>479.60333537262079</v>
      </c>
      <c r="I22" s="7">
        <v>247.16705074320794</v>
      </c>
      <c r="J22" s="7">
        <v>273.22961388417065</v>
      </c>
      <c r="K22" s="7"/>
      <c r="L22" s="7">
        <f t="shared" si="1"/>
        <v>470.01126866516836</v>
      </c>
      <c r="M22" s="7">
        <f t="shared" si="2"/>
        <v>248.18192450521704</v>
      </c>
      <c r="N22" s="7">
        <f t="shared" si="3"/>
        <v>281.80680682961395</v>
      </c>
      <c r="O22" s="7"/>
      <c r="P22" s="7">
        <f t="shared" si="4"/>
        <v>23980.166768631039</v>
      </c>
      <c r="Q22" s="7">
        <f t="shared" si="5"/>
        <v>247167.05074320795</v>
      </c>
      <c r="R22" s="7">
        <f t="shared" si="6"/>
        <v>271147.217511839</v>
      </c>
      <c r="S22" s="7"/>
      <c r="T22" s="7">
        <f t="shared" si="7"/>
        <v>431.64300183535875</v>
      </c>
      <c r="U22" s="7">
        <f t="shared" si="8"/>
        <v>148.30023044592477</v>
      </c>
      <c r="V22" s="8">
        <f t="shared" si="9"/>
        <v>579.94323228128349</v>
      </c>
    </row>
    <row r="23" spans="6:22" x14ac:dyDescent="0.2">
      <c r="F23" s="6">
        <f t="shared" si="10"/>
        <v>20</v>
      </c>
      <c r="G23" s="7"/>
      <c r="H23" s="7" cm="1">
        <f t="array" ref="H23:J23">MMULT(H22:J22,$B$5:$D$7)</f>
        <v>460.41920195771593</v>
      </c>
      <c r="I23" s="7">
        <v>249.19679826722614</v>
      </c>
      <c r="J23" s="7">
        <v>290.38399977505725</v>
      </c>
      <c r="K23" s="7"/>
      <c r="L23" s="7">
        <f t="shared" si="1"/>
        <v>451.21081791856159</v>
      </c>
      <c r="M23" s="7">
        <f t="shared" si="2"/>
        <v>249.87316633991122</v>
      </c>
      <c r="N23" s="7">
        <f t="shared" si="3"/>
        <v>298.91601574152651</v>
      </c>
      <c r="O23" s="7"/>
      <c r="P23" s="7">
        <f t="shared" si="4"/>
        <v>23020.960097885796</v>
      </c>
      <c r="Q23" s="7">
        <f t="shared" si="5"/>
        <v>249196.79826722614</v>
      </c>
      <c r="R23" s="7">
        <f t="shared" si="6"/>
        <v>272217.75836511195</v>
      </c>
      <c r="S23" s="7"/>
      <c r="T23" s="7">
        <f t="shared" si="7"/>
        <v>414.37728176194435</v>
      </c>
      <c r="U23" s="7">
        <f t="shared" si="8"/>
        <v>149.51807896033569</v>
      </c>
      <c r="V23" s="8">
        <f t="shared" si="9"/>
        <v>563.89536072227997</v>
      </c>
    </row>
    <row r="24" spans="6:22" x14ac:dyDescent="0.2">
      <c r="F24" s="6">
        <f t="shared" si="10"/>
        <v>21</v>
      </c>
      <c r="G24" s="7"/>
      <c r="H24" s="7" cm="1">
        <f t="array" ref="H24:J24">MMULT(H23:J23,$B$5:$D$7)</f>
        <v>442.00243387940725</v>
      </c>
      <c r="I24" s="7">
        <v>250.5495344125963</v>
      </c>
      <c r="J24" s="7">
        <v>307.44803170799571</v>
      </c>
      <c r="K24" s="7"/>
      <c r="L24" s="7">
        <f t="shared" si="1"/>
        <v>433.16238520181912</v>
      </c>
      <c r="M24" s="7">
        <f t="shared" si="2"/>
        <v>250.9158325604725</v>
      </c>
      <c r="N24" s="7">
        <f t="shared" si="3"/>
        <v>315.92178223770765</v>
      </c>
      <c r="O24" s="7"/>
      <c r="P24" s="7">
        <f t="shared" si="4"/>
        <v>22100.121693970363</v>
      </c>
      <c r="Q24" s="7">
        <f t="shared" si="5"/>
        <v>250549.53441259629</v>
      </c>
      <c r="R24" s="7">
        <f t="shared" si="6"/>
        <v>272649.65610656666</v>
      </c>
      <c r="S24" s="7"/>
      <c r="T24" s="7">
        <f t="shared" si="7"/>
        <v>397.80219049146655</v>
      </c>
      <c r="U24" s="7">
        <f t="shared" si="8"/>
        <v>150.32972064755776</v>
      </c>
      <c r="V24" s="8">
        <f t="shared" si="9"/>
        <v>548.13191113902428</v>
      </c>
    </row>
    <row r="25" spans="6:22" x14ac:dyDescent="0.2">
      <c r="F25" s="6">
        <f t="shared" si="10"/>
        <v>22</v>
      </c>
      <c r="G25" s="7"/>
      <c r="H25" s="7" cm="1">
        <f t="array" ref="H25:J25">MMULT(H24:J24,$B$5:$D$7)</f>
        <v>424.32233652423093</v>
      </c>
      <c r="I25" s="7">
        <v>251.28213070834869</v>
      </c>
      <c r="J25" s="7">
        <v>324.39553276741958</v>
      </c>
      <c r="K25" s="7"/>
      <c r="L25" s="7">
        <f t="shared" si="1"/>
        <v>415.83588979374633</v>
      </c>
      <c r="M25" s="7">
        <f t="shared" si="2"/>
        <v>251.36491248850342</v>
      </c>
      <c r="N25" s="7">
        <f t="shared" si="3"/>
        <v>332.79919771774945</v>
      </c>
      <c r="O25" s="7"/>
      <c r="P25" s="7">
        <f t="shared" si="4"/>
        <v>21216.116826211546</v>
      </c>
      <c r="Q25" s="7">
        <f t="shared" si="5"/>
        <v>251282.13070834868</v>
      </c>
      <c r="R25" s="7">
        <f t="shared" si="6"/>
        <v>272498.24753456021</v>
      </c>
      <c r="S25" s="7"/>
      <c r="T25" s="7">
        <f t="shared" si="7"/>
        <v>381.89010287180787</v>
      </c>
      <c r="U25" s="7">
        <f t="shared" si="8"/>
        <v>150.76927842500922</v>
      </c>
      <c r="V25" s="8">
        <f t="shared" si="9"/>
        <v>532.65938129681706</v>
      </c>
    </row>
    <row r="26" spans="6:22" x14ac:dyDescent="0.2">
      <c r="F26" s="6">
        <f t="shared" si="10"/>
        <v>23</v>
      </c>
      <c r="G26" s="7"/>
      <c r="H26" s="7" cm="1">
        <f t="array" ref="H26:J26">MMULT(H25:J25,$B$5:$D$7)</f>
        <v>407.34944306326167</v>
      </c>
      <c r="I26" s="7">
        <v>251.44769426865818</v>
      </c>
      <c r="J26" s="7">
        <v>341.20286266807932</v>
      </c>
      <c r="K26" s="7"/>
      <c r="L26" s="7">
        <f t="shared" si="1"/>
        <v>399.20245420199643</v>
      </c>
      <c r="M26" s="7">
        <f t="shared" si="2"/>
        <v>251.27174355789066</v>
      </c>
      <c r="N26" s="7">
        <f t="shared" si="3"/>
        <v>349.52580224011206</v>
      </c>
      <c r="O26" s="7"/>
      <c r="P26" s="7">
        <f t="shared" si="4"/>
        <v>20367.472153163082</v>
      </c>
      <c r="Q26" s="7">
        <f t="shared" si="5"/>
        <v>251447.69426865818</v>
      </c>
      <c r="R26" s="7">
        <f t="shared" si="6"/>
        <v>271815.16642182128</v>
      </c>
      <c r="S26" s="7"/>
      <c r="T26" s="7">
        <f t="shared" si="7"/>
        <v>366.61449875693552</v>
      </c>
      <c r="U26" s="7">
        <f t="shared" si="8"/>
        <v>150.8686165611949</v>
      </c>
      <c r="V26" s="8">
        <f t="shared" si="9"/>
        <v>517.48311531813044</v>
      </c>
    </row>
    <row r="27" spans="6:22" x14ac:dyDescent="0.2">
      <c r="F27" s="6">
        <f t="shared" si="10"/>
        <v>24</v>
      </c>
      <c r="G27" s="7"/>
      <c r="H27" s="7" cm="1">
        <f t="array" ref="H27:J27">MMULT(H26:J26,$B$5:$D$7)</f>
        <v>391.05546534073119</v>
      </c>
      <c r="I27" s="7">
        <v>251.09579284712311</v>
      </c>
      <c r="J27" s="7">
        <v>357.84874181214485</v>
      </c>
      <c r="K27" s="7"/>
      <c r="L27" s="7">
        <f t="shared" si="1"/>
        <v>383.23435603391658</v>
      </c>
      <c r="M27" s="7">
        <f t="shared" si="2"/>
        <v>250.684230006056</v>
      </c>
      <c r="N27" s="7">
        <f t="shared" si="3"/>
        <v>366.08141396002657</v>
      </c>
      <c r="O27" s="7"/>
      <c r="P27" s="7">
        <f t="shared" si="4"/>
        <v>19552.773267036559</v>
      </c>
      <c r="Q27" s="7">
        <f t="shared" si="5"/>
        <v>251095.79284712311</v>
      </c>
      <c r="R27" s="7">
        <f t="shared" si="6"/>
        <v>270648.56611415965</v>
      </c>
      <c r="S27" s="7"/>
      <c r="T27" s="7">
        <f t="shared" si="7"/>
        <v>351.9499188066581</v>
      </c>
      <c r="U27" s="7">
        <f t="shared" si="8"/>
        <v>150.65747570827386</v>
      </c>
      <c r="V27" s="8">
        <f t="shared" si="9"/>
        <v>502.60739451493197</v>
      </c>
    </row>
    <row r="28" spans="6:22" x14ac:dyDescent="0.2">
      <c r="F28" s="6">
        <f t="shared" si="10"/>
        <v>25</v>
      </c>
      <c r="G28" s="7"/>
      <c r="H28" s="7" cm="1">
        <f t="array" ref="H28:J28">MMULT(H27:J27,$B$5:$D$7)</f>
        <v>375.41324672710192</v>
      </c>
      <c r="I28" s="7">
        <v>250.27266716498889</v>
      </c>
      <c r="J28" s="7">
        <v>374.31408610790834</v>
      </c>
      <c r="K28" s="7"/>
      <c r="L28" s="7">
        <f t="shared" si="1"/>
        <v>367.90498179255985</v>
      </c>
      <c r="M28" s="7">
        <f t="shared" si="2"/>
        <v>249.64704918677069</v>
      </c>
      <c r="N28" s="7">
        <f t="shared" si="3"/>
        <v>382.44796902066855</v>
      </c>
      <c r="O28" s="7"/>
      <c r="P28" s="7">
        <f t="shared" si="4"/>
        <v>18770.662336355097</v>
      </c>
      <c r="Q28" s="7">
        <f t="shared" si="5"/>
        <v>250272.66716498887</v>
      </c>
      <c r="R28" s="7">
        <f t="shared" si="6"/>
        <v>269043.32950134395</v>
      </c>
      <c r="S28" s="7"/>
      <c r="T28" s="7">
        <f t="shared" si="7"/>
        <v>337.87192205439175</v>
      </c>
      <c r="U28" s="7">
        <f t="shared" si="8"/>
        <v>150.16360029899332</v>
      </c>
      <c r="V28" s="8">
        <f t="shared" si="9"/>
        <v>488.03552235338509</v>
      </c>
    </row>
    <row r="29" spans="6:22" x14ac:dyDescent="0.2">
      <c r="F29" s="6">
        <f t="shared" si="10"/>
        <v>26</v>
      </c>
      <c r="G29" s="7"/>
      <c r="H29" s="7" cm="1">
        <f t="array" ref="H29:J29">MMULT(H28:J28,$B$5:$D$7)</f>
        <v>360.39671685801784</v>
      </c>
      <c r="I29" s="7">
        <v>249.02143120855249</v>
      </c>
      <c r="J29" s="7">
        <v>390.58185193342882</v>
      </c>
      <c r="K29" s="7"/>
      <c r="L29" s="7">
        <f t="shared" si="1"/>
        <v>353.18878252085744</v>
      </c>
      <c r="M29" s="7">
        <f t="shared" si="2"/>
        <v>248.20184618120894</v>
      </c>
      <c r="N29" s="7">
        <f t="shared" si="3"/>
        <v>398.60937129793274</v>
      </c>
      <c r="O29" s="7"/>
      <c r="P29" s="7">
        <f t="shared" si="4"/>
        <v>18019.835842900891</v>
      </c>
      <c r="Q29" s="7">
        <f t="shared" si="5"/>
        <v>249021.43120855247</v>
      </c>
      <c r="R29" s="7">
        <f t="shared" si="6"/>
        <v>267041.26705145335</v>
      </c>
      <c r="S29" s="7"/>
      <c r="T29" s="7">
        <f t="shared" si="7"/>
        <v>324.35704517221609</v>
      </c>
      <c r="U29" s="7">
        <f t="shared" si="8"/>
        <v>149.41285872513149</v>
      </c>
      <c r="V29" s="8">
        <f t="shared" si="9"/>
        <v>473.7699038973476</v>
      </c>
    </row>
    <row r="30" spans="6:22" x14ac:dyDescent="0.2">
      <c r="F30" s="6">
        <f t="shared" si="10"/>
        <v>27</v>
      </c>
      <c r="G30" s="7"/>
      <c r="H30" s="7" cm="1">
        <f t="array" ref="H30:J30">MMULT(H29:J29,$B$5:$D$7)</f>
        <v>345.98084818369711</v>
      </c>
      <c r="I30" s="7">
        <v>247.38226115386539</v>
      </c>
      <c r="J30" s="7">
        <v>406.6368906624366</v>
      </c>
      <c r="K30" s="7"/>
      <c r="L30" s="7">
        <f t="shared" si="1"/>
        <v>339.06123122002316</v>
      </c>
      <c r="M30" s="7">
        <f t="shared" si="2"/>
        <v>246.3874173477742</v>
      </c>
      <c r="N30" s="7">
        <f t="shared" si="3"/>
        <v>414.55135143220173</v>
      </c>
      <c r="O30" s="7"/>
      <c r="P30" s="7">
        <f t="shared" si="4"/>
        <v>17299.042409184854</v>
      </c>
      <c r="Q30" s="7">
        <f t="shared" si="5"/>
        <v>247382.26115386537</v>
      </c>
      <c r="R30" s="7">
        <f t="shared" si="6"/>
        <v>264681.30356305023</v>
      </c>
      <c r="S30" s="7"/>
      <c r="T30" s="7">
        <f t="shared" si="7"/>
        <v>311.38276336532738</v>
      </c>
      <c r="U30" s="7">
        <f t="shared" si="8"/>
        <v>148.42935669231923</v>
      </c>
      <c r="V30" s="8">
        <f t="shared" si="9"/>
        <v>459.81212005764661</v>
      </c>
    </row>
    <row r="31" spans="6:22" x14ac:dyDescent="0.2">
      <c r="F31" s="6">
        <f t="shared" si="10"/>
        <v>28</v>
      </c>
      <c r="G31" s="7"/>
      <c r="H31" s="7" cm="1">
        <f t="array" ref="H31:J31">MMULT(H30:J30,$B$5:$D$7)</f>
        <v>332.14161425634921</v>
      </c>
      <c r="I31" s="7">
        <v>245.39257354168302</v>
      </c>
      <c r="J31" s="7">
        <v>422.46581220196686</v>
      </c>
      <c r="K31" s="7"/>
      <c r="L31" s="7">
        <f t="shared" si="1"/>
        <v>325.49878197122223</v>
      </c>
      <c r="M31" s="7">
        <f t="shared" si="2"/>
        <v>244.23988341698617</v>
      </c>
      <c r="N31" s="7">
        <f t="shared" si="3"/>
        <v>430.26133461179069</v>
      </c>
      <c r="O31" s="7"/>
      <c r="P31" s="7">
        <f t="shared" si="4"/>
        <v>16607.08071281746</v>
      </c>
      <c r="Q31" s="7">
        <f t="shared" si="5"/>
        <v>245392.57354168303</v>
      </c>
      <c r="R31" s="7">
        <f t="shared" si="6"/>
        <v>261999.65425450049</v>
      </c>
      <c r="S31" s="7"/>
      <c r="T31" s="7">
        <f t="shared" si="7"/>
        <v>298.92745283071429</v>
      </c>
      <c r="U31" s="7">
        <f t="shared" si="8"/>
        <v>147.2355441250098</v>
      </c>
      <c r="V31" s="8">
        <f t="shared" si="9"/>
        <v>446.16299695572411</v>
      </c>
    </row>
    <row r="32" spans="6:22" x14ac:dyDescent="0.2">
      <c r="F32" s="6">
        <f t="shared" si="10"/>
        <v>29</v>
      </c>
      <c r="G32" s="7"/>
      <c r="H32" s="7" cm="1">
        <f t="array" ref="H32:J32">MMULT(H31:J31,$B$5:$D$7)</f>
        <v>318.85594968609524</v>
      </c>
      <c r="I32" s="7">
        <v>243.08719329228933</v>
      </c>
      <c r="J32" s="7">
        <v>438.05685702161452</v>
      </c>
      <c r="K32" s="7"/>
      <c r="L32" s="7">
        <f t="shared" si="1"/>
        <v>312.47883069237332</v>
      </c>
      <c r="M32" s="7">
        <f t="shared" si="2"/>
        <v>241.7928527052735</v>
      </c>
      <c r="N32" s="7">
        <f t="shared" si="3"/>
        <v>445.72831660235227</v>
      </c>
      <c r="O32" s="7"/>
      <c r="P32" s="7">
        <f t="shared" si="4"/>
        <v>15942.797484304761</v>
      </c>
      <c r="Q32" s="7">
        <f t="shared" si="5"/>
        <v>243087.19329228933</v>
      </c>
      <c r="R32" s="7">
        <f t="shared" si="6"/>
        <v>259029.99077659409</v>
      </c>
      <c r="S32" s="7"/>
      <c r="T32" s="7">
        <f t="shared" si="7"/>
        <v>286.97035471748575</v>
      </c>
      <c r="U32" s="7">
        <f t="shared" si="8"/>
        <v>145.85231597537359</v>
      </c>
      <c r="V32" s="8">
        <f t="shared" si="9"/>
        <v>432.82267069285933</v>
      </c>
    </row>
    <row r="33" spans="6:22" x14ac:dyDescent="0.2">
      <c r="F33" s="6">
        <f t="shared" si="10"/>
        <v>30</v>
      </c>
      <c r="G33" s="7"/>
      <c r="H33" s="7" cm="1">
        <f t="array" ref="H33:J33">MMULT(H32:J32,$B$5:$D$7)</f>
        <v>306.1017116986514</v>
      </c>
      <c r="I33" s="7">
        <v>240.49851211825771</v>
      </c>
      <c r="J33" s="7">
        <v>453.39977618308995</v>
      </c>
      <c r="K33" s="7"/>
      <c r="L33" s="7">
        <f t="shared" si="1"/>
        <v>299.97967746467839</v>
      </c>
      <c r="M33" s="7">
        <f t="shared" si="2"/>
        <v>239.07757499078105</v>
      </c>
      <c r="N33" s="7">
        <f t="shared" si="3"/>
        <v>460.94274754453966</v>
      </c>
      <c r="O33" s="7"/>
      <c r="P33" s="7">
        <f t="shared" si="4"/>
        <v>15305.085584932571</v>
      </c>
      <c r="Q33" s="7">
        <f t="shared" si="5"/>
        <v>240498.5121182577</v>
      </c>
      <c r="R33" s="7">
        <f t="shared" si="6"/>
        <v>255803.59770319026</v>
      </c>
      <c r="S33" s="7"/>
      <c r="T33" s="7">
        <f t="shared" si="7"/>
        <v>275.49154052878629</v>
      </c>
      <c r="U33" s="7">
        <f t="shared" si="8"/>
        <v>144.29910727095461</v>
      </c>
      <c r="V33" s="8">
        <f t="shared" si="9"/>
        <v>419.7906477997409</v>
      </c>
    </row>
    <row r="34" spans="6:22" x14ac:dyDescent="0.2">
      <c r="F34" s="6">
        <f t="shared" si="10"/>
        <v>31</v>
      </c>
      <c r="G34" s="7"/>
      <c r="H34" s="7" cm="1">
        <f t="array" ref="H34:J34">MMULT(H33:J33,$B$5:$D$7)</f>
        <v>293.85764323070532</v>
      </c>
      <c r="I34" s="7">
        <v>237.65663786330435</v>
      </c>
      <c r="J34" s="7">
        <v>468.48571890598936</v>
      </c>
      <c r="K34" s="7"/>
      <c r="L34" s="7">
        <f t="shared" si="1"/>
        <v>287.9804903660912</v>
      </c>
      <c r="M34" s="7">
        <f t="shared" si="2"/>
        <v>236.12308656518232</v>
      </c>
      <c r="N34" s="7">
        <f t="shared" si="3"/>
        <v>475.89642306872548</v>
      </c>
      <c r="O34" s="7"/>
      <c r="P34" s="7">
        <f t="shared" si="4"/>
        <v>14692.882161535266</v>
      </c>
      <c r="Q34" s="7">
        <f t="shared" si="5"/>
        <v>237656.63786330435</v>
      </c>
      <c r="R34" s="7">
        <f t="shared" si="6"/>
        <v>252349.52002483961</v>
      </c>
      <c r="S34" s="7"/>
      <c r="T34" s="7">
        <f>H34*$C$11</f>
        <v>264.47187890763479</v>
      </c>
      <c r="U34" s="7">
        <f>I34*$C$12</f>
        <v>142.59398271798261</v>
      </c>
      <c r="V34" s="8">
        <f>SUM(T34:U34)</f>
        <v>407.0658616256174</v>
      </c>
    </row>
    <row r="35" spans="6:22" x14ac:dyDescent="0.2">
      <c r="F35" s="6">
        <f t="shared" si="10"/>
        <v>32</v>
      </c>
      <c r="G35" s="7"/>
      <c r="H35" s="7" cm="1">
        <f t="array" ref="H35:J35">MMULT(H34:J34,$B$5:$D$7)</f>
        <v>282.10333750147709</v>
      </c>
      <c r="I35" s="7">
        <v>234.58953526706028</v>
      </c>
      <c r="J35" s="7">
        <v>483.30712723146161</v>
      </c>
      <c r="K35" s="7"/>
      <c r="L35" s="7">
        <f t="shared" si="1"/>
        <v>276.4612707514475</v>
      </c>
      <c r="M35" s="7">
        <f t="shared" si="2"/>
        <v>232.95634694790593</v>
      </c>
      <c r="N35" s="7">
        <f t="shared" si="3"/>
        <v>490.58238230064546</v>
      </c>
      <c r="O35" s="7"/>
      <c r="P35" s="7">
        <f t="shared" si="4"/>
        <v>14105.166875073854</v>
      </c>
      <c r="Q35" s="7">
        <f t="shared" si="5"/>
        <v>234589.53526706027</v>
      </c>
      <c r="R35" s="7">
        <f t="shared" si="6"/>
        <v>248694.70214213413</v>
      </c>
      <c r="S35" s="7"/>
      <c r="T35" s="7">
        <f t="shared" ref="T35:T43" si="11">H35*$C$11</f>
        <v>253.89300375132939</v>
      </c>
      <c r="U35" s="7">
        <f t="shared" ref="U35:U43" si="12">I35*$C$12</f>
        <v>140.75372116023615</v>
      </c>
      <c r="V35" s="8">
        <f t="shared" ref="V35:V43" si="13">SUM(T35:U35)</f>
        <v>394.64672491156557</v>
      </c>
    </row>
    <row r="36" spans="6:22" x14ac:dyDescent="0.2">
      <c r="F36" s="6">
        <f t="shared" si="10"/>
        <v>33</v>
      </c>
      <c r="G36" s="7"/>
      <c r="H36" s="7" cm="1">
        <f t="array" ref="H36:J36">MMULT(H35:J35,$B$5:$D$7)</f>
        <v>270.81920400141797</v>
      </c>
      <c r="I36" s="7">
        <v>231.32315862875157</v>
      </c>
      <c r="J36" s="7">
        <v>497.85763736982938</v>
      </c>
      <c r="K36" s="7"/>
      <c r="L36" s="7">
        <f t="shared" si="1"/>
        <v>265.40281992138961</v>
      </c>
      <c r="M36" s="7">
        <f t="shared" si="2"/>
        <v>229.60236772305404</v>
      </c>
      <c r="N36" s="7">
        <f t="shared" si="3"/>
        <v>504.99481235555527</v>
      </c>
      <c r="O36" s="7"/>
      <c r="P36" s="7">
        <f t="shared" si="4"/>
        <v>13540.960200070898</v>
      </c>
      <c r="Q36" s="7">
        <f t="shared" si="5"/>
        <v>231323.15862875158</v>
      </c>
      <c r="R36" s="7">
        <f t="shared" si="6"/>
        <v>244864.11882882248</v>
      </c>
      <c r="S36" s="7"/>
      <c r="T36" s="7">
        <f t="shared" si="11"/>
        <v>243.73728360127618</v>
      </c>
      <c r="U36" s="7">
        <f t="shared" si="12"/>
        <v>138.79389517725093</v>
      </c>
      <c r="V36" s="8">
        <f t="shared" si="13"/>
        <v>382.53117877852708</v>
      </c>
    </row>
    <row r="37" spans="6:22" x14ac:dyDescent="0.2">
      <c r="F37" s="6">
        <f t="shared" si="10"/>
        <v>34</v>
      </c>
      <c r="G37" s="7"/>
      <c r="H37" s="7" cm="1">
        <f t="array" ref="H37:J37">MMULT(H36:J36,$B$5:$D$7)</f>
        <v>259.98643584136124</v>
      </c>
      <c r="I37" s="7">
        <v>227.88157681735652</v>
      </c>
      <c r="J37" s="7">
        <v>512.13198734128116</v>
      </c>
      <c r="K37" s="7"/>
      <c r="L37" s="7">
        <f t="shared" si="1"/>
        <v>254.78670712453402</v>
      </c>
      <c r="M37" s="7">
        <f t="shared" si="2"/>
        <v>226.084333934543</v>
      </c>
      <c r="N37" s="7">
        <f t="shared" si="3"/>
        <v>519.12895894092185</v>
      </c>
      <c r="O37" s="7"/>
      <c r="P37" s="7">
        <f t="shared" si="4"/>
        <v>12999.321792068062</v>
      </c>
      <c r="Q37" s="7">
        <f t="shared" si="5"/>
        <v>227881.57681735652</v>
      </c>
      <c r="R37" s="7">
        <f t="shared" si="6"/>
        <v>240880.89860942459</v>
      </c>
      <c r="S37" s="7"/>
      <c r="T37" s="7">
        <f t="shared" si="11"/>
        <v>233.98779225722512</v>
      </c>
      <c r="U37" s="7">
        <f t="shared" si="12"/>
        <v>136.7289460904139</v>
      </c>
      <c r="V37" s="8">
        <f t="shared" si="13"/>
        <v>370.71673834763902</v>
      </c>
    </row>
    <row r="38" spans="6:22" x14ac:dyDescent="0.2">
      <c r="F38" s="6">
        <f t="shared" si="10"/>
        <v>35</v>
      </c>
      <c r="G38" s="7"/>
      <c r="H38" s="7" cm="1">
        <f t="array" ref="H38:J38">MMULT(H37:J37,$B$5:$D$7)</f>
        <v>249.58697840770679</v>
      </c>
      <c r="I38" s="7">
        <v>224.2870910517295</v>
      </c>
      <c r="J38" s="7">
        <v>526.12593054056265</v>
      </c>
      <c r="K38" s="7"/>
      <c r="L38" s="7">
        <f t="shared" si="1"/>
        <v>244.59523883955265</v>
      </c>
      <c r="M38" s="7">
        <f t="shared" si="2"/>
        <v>222.42371845155185</v>
      </c>
      <c r="N38" s="7">
        <f t="shared" si="3"/>
        <v>532.98104270889439</v>
      </c>
      <c r="O38" s="7"/>
      <c r="P38" s="7">
        <f t="shared" si="4"/>
        <v>12479.348920385341</v>
      </c>
      <c r="Q38" s="7">
        <f t="shared" si="5"/>
        <v>224287.09105172951</v>
      </c>
      <c r="R38" s="7">
        <f t="shared" si="6"/>
        <v>236766.43997211487</v>
      </c>
      <c r="S38" s="7"/>
      <c r="T38" s="7">
        <f t="shared" si="11"/>
        <v>224.62828056693613</v>
      </c>
      <c r="U38" s="7">
        <f t="shared" si="12"/>
        <v>134.57225463103771</v>
      </c>
      <c r="V38" s="8">
        <f t="shared" si="13"/>
        <v>359.20053519797386</v>
      </c>
    </row>
    <row r="39" spans="6:22" x14ac:dyDescent="0.2">
      <c r="F39" s="6">
        <f t="shared" si="10"/>
        <v>36</v>
      </c>
      <c r="G39" s="7"/>
      <c r="H39" s="7" cm="1">
        <f t="array" ref="H39:J39">MMULT(H38:J38,$B$5:$D$7)</f>
        <v>239.6034992713985</v>
      </c>
      <c r="I39" s="7">
        <v>220.56034585137422</v>
      </c>
      <c r="J39" s="7">
        <v>539.83615487722614</v>
      </c>
      <c r="K39" s="7"/>
      <c r="L39" s="7">
        <f t="shared" si="1"/>
        <v>234.81142928597052</v>
      </c>
      <c r="M39" s="7">
        <f t="shared" si="2"/>
        <v>218.64038969416083</v>
      </c>
      <c r="N39" s="7">
        <f t="shared" si="3"/>
        <v>546.54818101986746</v>
      </c>
      <c r="O39" s="7"/>
      <c r="P39" s="7">
        <f t="shared" si="4"/>
        <v>11980.174963569925</v>
      </c>
      <c r="Q39" s="7">
        <f t="shared" si="5"/>
        <v>220560.34585137421</v>
      </c>
      <c r="R39" s="7">
        <f t="shared" si="6"/>
        <v>232540.52081494415</v>
      </c>
      <c r="S39" s="7"/>
      <c r="T39" s="7">
        <f t="shared" si="11"/>
        <v>215.64314934425866</v>
      </c>
      <c r="U39" s="7">
        <f t="shared" si="12"/>
        <v>132.33620751082452</v>
      </c>
      <c r="V39" s="8">
        <f t="shared" si="13"/>
        <v>347.97935685508321</v>
      </c>
    </row>
    <row r="40" spans="6:22" x14ac:dyDescent="0.2">
      <c r="F40" s="6">
        <f t="shared" si="10"/>
        <v>37</v>
      </c>
      <c r="G40" s="7"/>
      <c r="H40" s="7" cm="1">
        <f t="array" ref="H40:J40">MMULT(H39:J39,$B$5:$D$7)</f>
        <v>230.01935930054256</v>
      </c>
      <c r="I40" s="7">
        <v>216.72043353694744</v>
      </c>
      <c r="J40" s="7">
        <v>553.26020716250878</v>
      </c>
      <c r="K40" s="7"/>
      <c r="L40" s="7">
        <f t="shared" si="1"/>
        <v>225.4189721145317</v>
      </c>
      <c r="M40" s="7">
        <f t="shared" si="2"/>
        <v>214.7527130880319</v>
      </c>
      <c r="N40" s="7">
        <f t="shared" si="3"/>
        <v>559.82831479743516</v>
      </c>
      <c r="O40" s="7"/>
      <c r="P40" s="7">
        <f t="shared" si="4"/>
        <v>11500.967965027128</v>
      </c>
      <c r="Q40" s="7">
        <f t="shared" si="5"/>
        <v>216720.43353694744</v>
      </c>
      <c r="R40" s="7">
        <f t="shared" si="6"/>
        <v>228221.40150197456</v>
      </c>
      <c r="S40" s="7"/>
      <c r="T40" s="7">
        <f t="shared" si="11"/>
        <v>207.0174233704883</v>
      </c>
      <c r="U40" s="7">
        <f t="shared" si="12"/>
        <v>130.03226012216845</v>
      </c>
      <c r="V40" s="8">
        <f t="shared" si="13"/>
        <v>337.04968349265675</v>
      </c>
    </row>
    <row r="41" spans="6:22" x14ac:dyDescent="0.2">
      <c r="F41" s="6">
        <f t="shared" si="10"/>
        <v>38</v>
      </c>
      <c r="G41" s="7"/>
      <c r="H41" s="7" cm="1">
        <f t="array" ref="H41:J41">MMULT(H40:J40,$B$5:$D$7)</f>
        <v>220.81858492852086</v>
      </c>
      <c r="I41" s="7">
        <v>212.78499263911633</v>
      </c>
      <c r="J41" s="7">
        <v>566.39642243236153</v>
      </c>
      <c r="K41" s="7"/>
      <c r="L41" s="7">
        <f t="shared" si="1"/>
        <v>216.40221322995046</v>
      </c>
      <c r="M41" s="7">
        <f t="shared" si="2"/>
        <v>210.77764659706622</v>
      </c>
      <c r="N41" s="7">
        <f t="shared" si="3"/>
        <v>572.82014017298206</v>
      </c>
      <c r="O41" s="7"/>
      <c r="P41" s="7">
        <f t="shared" si="4"/>
        <v>11040.929246426043</v>
      </c>
      <c r="Q41" s="7">
        <f t="shared" si="5"/>
        <v>212784.99263911633</v>
      </c>
      <c r="R41" s="7">
        <f t="shared" si="6"/>
        <v>223825.92188554237</v>
      </c>
      <c r="S41" s="7"/>
      <c r="T41" s="7">
        <f t="shared" si="11"/>
        <v>198.73672643566877</v>
      </c>
      <c r="U41" s="7">
        <f t="shared" si="12"/>
        <v>127.67099558346979</v>
      </c>
      <c r="V41" s="8">
        <f t="shared" si="13"/>
        <v>326.40772201913853</v>
      </c>
    </row>
    <row r="42" spans="6:22" x14ac:dyDescent="0.2">
      <c r="F42" s="6">
        <f t="shared" si="10"/>
        <v>39</v>
      </c>
      <c r="G42" s="7"/>
      <c r="H42" s="7" cm="1">
        <f t="array" ref="H42:J42">MMULT(H41:J41,$B$5:$D$7)</f>
        <v>211.98584153138003</v>
      </c>
      <c r="I42" s="7">
        <v>208.77030055501612</v>
      </c>
      <c r="J42" s="7">
        <v>579.2438579136026</v>
      </c>
      <c r="K42" s="7"/>
      <c r="L42" s="7">
        <f t="shared" si="1"/>
        <v>207.74612470075243</v>
      </c>
      <c r="M42" s="7">
        <f t="shared" si="2"/>
        <v>206.73083066411141</v>
      </c>
      <c r="N42" s="7">
        <f t="shared" si="3"/>
        <v>585.52304463513497</v>
      </c>
      <c r="O42" s="7"/>
      <c r="P42" s="7">
        <f t="shared" si="4"/>
        <v>10599.292076569001</v>
      </c>
      <c r="Q42" s="7">
        <f t="shared" si="5"/>
        <v>208770.30055501612</v>
      </c>
      <c r="R42" s="7">
        <f t="shared" si="6"/>
        <v>219369.59263158511</v>
      </c>
      <c r="S42" s="7"/>
      <c r="T42" s="7">
        <f t="shared" si="11"/>
        <v>190.78725737824203</v>
      </c>
      <c r="U42" s="7">
        <f t="shared" si="12"/>
        <v>125.26218033300967</v>
      </c>
      <c r="V42" s="8">
        <f t="shared" si="13"/>
        <v>316.0494377112517</v>
      </c>
    </row>
    <row r="43" spans="6:22" ht="17" thickBot="1" x14ac:dyDescent="0.25">
      <c r="F43" s="9">
        <f t="shared" si="10"/>
        <v>40</v>
      </c>
      <c r="G43" s="10"/>
      <c r="H43" s="10" cm="1">
        <f t="array" ref="H43:J43">MMULT(H42:J42,$B$5:$D$7)</f>
        <v>203.50640787012483</v>
      </c>
      <c r="I43" s="10">
        <v>204.69136077320672</v>
      </c>
      <c r="J43" s="10">
        <v>591.80223135666722</v>
      </c>
      <c r="K43" s="10"/>
      <c r="L43" s="10">
        <f t="shared" si="1"/>
        <v>101.75320393506242</v>
      </c>
      <c r="M43" s="10">
        <f t="shared" si="2"/>
        <v>102.34568038660336</v>
      </c>
      <c r="N43" s="10">
        <f t="shared" si="3"/>
        <v>295.90111567833361</v>
      </c>
      <c r="O43" s="10"/>
      <c r="P43" s="10">
        <f t="shared" si="4"/>
        <v>10175.320393506241</v>
      </c>
      <c r="Q43" s="10">
        <f t="shared" si="5"/>
        <v>204691.36077320672</v>
      </c>
      <c r="R43" s="10">
        <f t="shared" si="6"/>
        <v>214866.68116671295</v>
      </c>
      <c r="S43" s="10"/>
      <c r="T43" s="10">
        <f t="shared" si="11"/>
        <v>183.15576708311235</v>
      </c>
      <c r="U43" s="10">
        <f t="shared" si="12"/>
        <v>122.81481646392403</v>
      </c>
      <c r="V43" s="11">
        <f t="shared" si="13"/>
        <v>305.97058354703637</v>
      </c>
    </row>
    <row r="44" spans="6:22" x14ac:dyDescent="0.2">
      <c r="F44" s="3"/>
    </row>
    <row r="45" spans="6:22" x14ac:dyDescent="0.2">
      <c r="P45" s="39">
        <f>SUM(P1:P43)/$H$4</f>
        <v>1005.7923105558491</v>
      </c>
      <c r="Q45" s="39">
        <f>SUM(Q1:Q43)/$H$4</f>
        <v>8058.2680272571788</v>
      </c>
      <c r="R45" s="39">
        <f>SUM(R1:R43)/$H$4</f>
        <v>9064.060337813029</v>
      </c>
      <c r="S45" s="39"/>
      <c r="T45" s="7">
        <f>SUM(T1:T43)/H4</f>
        <v>18.104261590005283</v>
      </c>
      <c r="U45" s="7">
        <f>SUM(U1:U43)/H4</f>
        <v>4.8349608163543083</v>
      </c>
      <c r="V45" s="7">
        <f>SUM(V1:V43)/H4</f>
        <v>22.939222406359598</v>
      </c>
    </row>
    <row r="46" spans="6:22" x14ac:dyDescent="0.2">
      <c r="R46" s="40" t="s">
        <v>14</v>
      </c>
      <c r="S46" s="40"/>
      <c r="U46" s="40" t="s">
        <v>15</v>
      </c>
      <c r="V46" s="40"/>
    </row>
  </sheetData>
  <hyperlinks>
    <hyperlink ref="C2" r:id="rId1" xr:uid="{C4AE1938-3299-4846-A92A-A8724E1F28A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D0AD-BA86-5443-A6EE-B6D5AA05C36E}">
  <sheetPr codeName="Sheet4"/>
  <dimension ref="A1:Z46"/>
  <sheetViews>
    <sheetView showGridLines="0" workbookViewId="0">
      <selection sqref="A1:E2"/>
    </sheetView>
  </sheetViews>
  <sheetFormatPr baseColWidth="10" defaultRowHeight="16" x14ac:dyDescent="0.2"/>
  <cols>
    <col min="1" max="1" width="15" bestFit="1" customWidth="1"/>
    <col min="9" max="9" width="6" customWidth="1"/>
    <col min="15" max="15" width="4.33203125" customWidth="1"/>
    <col min="16" max="16" width="9.1640625" customWidth="1"/>
    <col min="19" max="19" width="6" customWidth="1"/>
    <col min="20" max="20" width="13.1640625" customWidth="1"/>
    <col min="21" max="21" width="12.83203125" customWidth="1"/>
    <col min="22" max="22" width="12.6640625" customWidth="1"/>
    <col min="23" max="23" width="8.1640625" customWidth="1"/>
  </cols>
  <sheetData>
    <row r="1" spans="1:26" ht="17" thickBot="1" x14ac:dyDescent="0.25">
      <c r="A1" s="42" t="s">
        <v>21</v>
      </c>
      <c r="B1" s="42"/>
      <c r="C1" s="42"/>
      <c r="D1" s="41"/>
      <c r="E1" s="41"/>
    </row>
    <row r="2" spans="1:26" ht="17" thickBot="1" x14ac:dyDescent="0.25">
      <c r="A2" s="42" t="s">
        <v>17</v>
      </c>
      <c r="B2" s="42" t="s">
        <v>29</v>
      </c>
      <c r="C2" s="64" t="s">
        <v>28</v>
      </c>
      <c r="D2" s="42"/>
      <c r="H2" s="65" t="s">
        <v>9</v>
      </c>
      <c r="I2" s="61"/>
      <c r="J2" s="61"/>
      <c r="K2" s="61"/>
      <c r="L2" s="61"/>
      <c r="M2" s="61"/>
      <c r="N2" s="61"/>
      <c r="O2" s="62"/>
      <c r="P2" s="62" t="s">
        <v>10</v>
      </c>
      <c r="Q2" s="62"/>
      <c r="R2" s="34"/>
      <c r="S2" s="34"/>
      <c r="T2" s="61" t="s">
        <v>12</v>
      </c>
      <c r="U2" s="62"/>
      <c r="V2" s="62"/>
      <c r="W2" s="62"/>
      <c r="X2" s="61" t="s">
        <v>8</v>
      </c>
      <c r="Y2" s="62"/>
      <c r="Z2" s="66"/>
    </row>
    <row r="3" spans="1:26" ht="17" thickBot="1" x14ac:dyDescent="0.25">
      <c r="A3" s="13" t="s">
        <v>0</v>
      </c>
      <c r="B3" s="1"/>
      <c r="C3" s="1"/>
      <c r="D3" s="1"/>
      <c r="H3" s="43"/>
      <c r="I3" s="44"/>
      <c r="J3" s="49" t="s">
        <v>19</v>
      </c>
      <c r="K3" s="49" t="s">
        <v>24</v>
      </c>
      <c r="L3" s="49" t="s">
        <v>25</v>
      </c>
      <c r="M3" s="49" t="s">
        <v>27</v>
      </c>
      <c r="N3" s="49" t="s">
        <v>26</v>
      </c>
      <c r="O3" s="44"/>
      <c r="P3" s="45" t="s">
        <v>11</v>
      </c>
      <c r="Q3" s="45" t="s">
        <v>4</v>
      </c>
      <c r="R3" s="45" t="s">
        <v>3</v>
      </c>
      <c r="S3" s="45"/>
      <c r="T3" s="45" t="s">
        <v>11</v>
      </c>
      <c r="U3" s="45" t="s">
        <v>4</v>
      </c>
      <c r="V3" s="45" t="s">
        <v>13</v>
      </c>
      <c r="W3" s="45"/>
      <c r="X3" s="45" t="s">
        <v>11</v>
      </c>
      <c r="Y3" s="45" t="s">
        <v>4</v>
      </c>
      <c r="Z3" s="46" t="s">
        <v>13</v>
      </c>
    </row>
    <row r="4" spans="1:26" ht="17" thickBot="1" x14ac:dyDescent="0.25">
      <c r="A4" s="36"/>
      <c r="B4" s="26" t="s">
        <v>1</v>
      </c>
      <c r="C4" s="24" t="s">
        <v>2</v>
      </c>
      <c r="D4" s="25" t="s">
        <v>3</v>
      </c>
      <c r="E4" s="47"/>
      <c r="F4" s="47"/>
      <c r="G4" s="47"/>
      <c r="H4" s="6">
        <v>1</v>
      </c>
      <c r="I4" s="54"/>
      <c r="J4" s="60">
        <f>VLOOKUP($H4,$A$11:$F$15,2,TRUE)</f>
        <v>0.01</v>
      </c>
      <c r="K4" s="60">
        <f>VLOOKUP($H4,$A$11:$F$15,3,TRUE)</f>
        <v>10</v>
      </c>
      <c r="L4" s="60">
        <f>VLOOKUP($H4,$A$11:$F$15,4,TRUE)</f>
        <v>800</v>
      </c>
      <c r="M4" s="60">
        <f>VLOOKUP($H4,$A$11:$F$15,5,TRUE)</f>
        <v>0.95</v>
      </c>
      <c r="N4" s="60">
        <f>VLOOKUP($H4,$A$11:$F$15,6,TRUE)</f>
        <v>0.65</v>
      </c>
      <c r="O4" s="7"/>
      <c r="P4" s="7">
        <v>1000</v>
      </c>
      <c r="Q4" s="7">
        <v>0</v>
      </c>
      <c r="R4" s="7">
        <v>0</v>
      </c>
      <c r="S4" s="7"/>
      <c r="T4" s="7">
        <f>P4*K4</f>
        <v>10000</v>
      </c>
      <c r="U4" s="7">
        <f>Q4*L4</f>
        <v>0</v>
      </c>
      <c r="V4" s="7">
        <f>SUM(T4:U4)</f>
        <v>10000</v>
      </c>
      <c r="W4" s="7"/>
      <c r="X4" s="7">
        <f>P4*M4</f>
        <v>950</v>
      </c>
      <c r="Y4" s="7">
        <f>Q4*N4</f>
        <v>0</v>
      </c>
      <c r="Z4" s="8">
        <f>SUM(X4:Y4)</f>
        <v>950</v>
      </c>
    </row>
    <row r="5" spans="1:26" x14ac:dyDescent="0.2">
      <c r="A5" s="27" t="s">
        <v>1</v>
      </c>
      <c r="B5" s="14" t="s">
        <v>18</v>
      </c>
      <c r="C5" s="14">
        <v>0.03</v>
      </c>
      <c r="D5" s="15" t="s">
        <v>19</v>
      </c>
      <c r="E5" s="3"/>
      <c r="F5" s="3"/>
      <c r="G5" s="3"/>
      <c r="H5" s="6">
        <f>H4+1</f>
        <v>2</v>
      </c>
      <c r="I5" s="54"/>
      <c r="J5" s="60">
        <f t="shared" ref="J5:J43" si="0">VLOOKUP($H5,$A$11:$F$15,2,TRUE)</f>
        <v>0.01</v>
      </c>
      <c r="K5" s="60">
        <f t="shared" ref="K5:K43" si="1">VLOOKUP($H5,$A$11:$F$15,3,TRUE)</f>
        <v>10</v>
      </c>
      <c r="L5" s="60">
        <f t="shared" ref="L5:L43" si="2">VLOOKUP($H5,$A$11:$F$15,4,TRUE)</f>
        <v>800</v>
      </c>
      <c r="M5" s="60">
        <f t="shared" ref="M5:M43" si="3">VLOOKUP($H5,$A$11:$F$15,5,TRUE)</f>
        <v>0.95</v>
      </c>
      <c r="N5" s="60">
        <f t="shared" ref="N5:N43" si="4">VLOOKUP($H5,$A$11:$F$15,6,TRUE)</f>
        <v>0.65</v>
      </c>
      <c r="O5" s="7"/>
      <c r="P5" s="7">
        <f>P4*(1-$C$5-$J$4)</f>
        <v>960</v>
      </c>
      <c r="Q5" s="7">
        <f>P4*$C$5+Q4*(1-0.04-J4)</f>
        <v>30</v>
      </c>
      <c r="R5" s="7">
        <f>P4*J4+Q4*(0.04+J4)+R4</f>
        <v>10</v>
      </c>
      <c r="S5" s="7"/>
      <c r="T5" s="7">
        <f t="shared" ref="T5:T43" si="5">P5*K5</f>
        <v>9600</v>
      </c>
      <c r="U5" s="7">
        <f t="shared" ref="U5:U43" si="6">Q5*L5</f>
        <v>24000</v>
      </c>
      <c r="V5" s="7">
        <f t="shared" ref="V5:V43" si="7">SUM(T5:U5)</f>
        <v>33600</v>
      </c>
      <c r="W5" s="7"/>
      <c r="X5" s="7">
        <f t="shared" ref="X5:X43" si="8">P5*M5</f>
        <v>912</v>
      </c>
      <c r="Y5" s="7">
        <f t="shared" ref="Y5:Y43" si="9">Q5*N5</f>
        <v>19.5</v>
      </c>
      <c r="Z5" s="8">
        <f t="shared" ref="Z5:Z43" si="10">SUM(X5:Y5)</f>
        <v>931.5</v>
      </c>
    </row>
    <row r="6" spans="1:26" x14ac:dyDescent="0.2">
      <c r="A6" s="28" t="s">
        <v>4</v>
      </c>
      <c r="B6" s="14">
        <v>0</v>
      </c>
      <c r="C6" s="14" t="s">
        <v>18</v>
      </c>
      <c r="D6" s="15" t="s">
        <v>20</v>
      </c>
      <c r="E6" s="3"/>
      <c r="F6" s="3"/>
      <c r="G6" s="3"/>
      <c r="H6" s="6">
        <f t="shared" ref="H6:H43" si="11">H5+1</f>
        <v>3</v>
      </c>
      <c r="I6" s="54"/>
      <c r="J6" s="60">
        <f t="shared" si="0"/>
        <v>0.01</v>
      </c>
      <c r="K6" s="60">
        <f t="shared" si="1"/>
        <v>10</v>
      </c>
      <c r="L6" s="60">
        <f t="shared" si="2"/>
        <v>800</v>
      </c>
      <c r="M6" s="60">
        <f t="shared" si="3"/>
        <v>0.95</v>
      </c>
      <c r="N6" s="60">
        <f t="shared" si="4"/>
        <v>0.65</v>
      </c>
      <c r="O6" s="7"/>
      <c r="P6" s="7">
        <f t="shared" ref="P6:P43" si="12">P5*(1-$C$5-$J$4)</f>
        <v>921.59999999999991</v>
      </c>
      <c r="Q6" s="7">
        <f t="shared" ref="Q6:Q43" si="13">P5*$C$5+Q5*(1-0.04-J5)</f>
        <v>57.3</v>
      </c>
      <c r="R6" s="7">
        <f t="shared" ref="R6:R43" si="14">P5*J5+Q5*(0.04+J5)+R5</f>
        <v>21.1</v>
      </c>
      <c r="S6" s="7"/>
      <c r="T6" s="7">
        <f t="shared" si="5"/>
        <v>9216</v>
      </c>
      <c r="U6" s="7">
        <f t="shared" si="6"/>
        <v>45840</v>
      </c>
      <c r="V6" s="7">
        <f t="shared" si="7"/>
        <v>55056</v>
      </c>
      <c r="W6" s="7"/>
      <c r="X6" s="7">
        <f t="shared" si="8"/>
        <v>875.51999999999987</v>
      </c>
      <c r="Y6" s="7">
        <f t="shared" si="9"/>
        <v>37.244999999999997</v>
      </c>
      <c r="Z6" s="8">
        <f t="shared" si="10"/>
        <v>912.76499999999987</v>
      </c>
    </row>
    <row r="7" spans="1:26" ht="17" thickBot="1" x14ac:dyDescent="0.25">
      <c r="A7" s="29" t="s">
        <v>3</v>
      </c>
      <c r="B7" s="16">
        <v>0</v>
      </c>
      <c r="C7" s="16">
        <v>0</v>
      </c>
      <c r="D7" s="17">
        <v>1</v>
      </c>
      <c r="E7" s="3"/>
      <c r="F7" s="3"/>
      <c r="G7" s="3"/>
      <c r="H7" s="6">
        <f t="shared" si="11"/>
        <v>4</v>
      </c>
      <c r="I7" s="54"/>
      <c r="J7" s="60">
        <f t="shared" si="0"/>
        <v>0.01</v>
      </c>
      <c r="K7" s="60">
        <f t="shared" si="1"/>
        <v>10</v>
      </c>
      <c r="L7" s="60">
        <f t="shared" si="2"/>
        <v>800</v>
      </c>
      <c r="M7" s="60">
        <f t="shared" si="3"/>
        <v>0.95</v>
      </c>
      <c r="N7" s="60">
        <f t="shared" si="4"/>
        <v>0.65</v>
      </c>
      <c r="O7" s="7"/>
      <c r="P7" s="7">
        <f t="shared" si="12"/>
        <v>884.73599999999988</v>
      </c>
      <c r="Q7" s="7">
        <f t="shared" si="13"/>
        <v>82.082999999999998</v>
      </c>
      <c r="R7" s="7">
        <f t="shared" si="14"/>
        <v>33.180999999999997</v>
      </c>
      <c r="S7" s="7"/>
      <c r="T7" s="7">
        <f t="shared" si="5"/>
        <v>8847.3599999999988</v>
      </c>
      <c r="U7" s="7">
        <f t="shared" si="6"/>
        <v>65666.399999999994</v>
      </c>
      <c r="V7" s="7">
        <f t="shared" si="7"/>
        <v>74513.759999999995</v>
      </c>
      <c r="W7" s="7"/>
      <c r="X7" s="7">
        <f t="shared" si="8"/>
        <v>840.49919999999986</v>
      </c>
      <c r="Y7" s="7">
        <f t="shared" si="9"/>
        <v>53.353949999999998</v>
      </c>
      <c r="Z7" s="8">
        <f t="shared" si="10"/>
        <v>893.85314999999991</v>
      </c>
    </row>
    <row r="8" spans="1:26" ht="17" thickBot="1" x14ac:dyDescent="0.25">
      <c r="H8" s="6">
        <f t="shared" si="11"/>
        <v>5</v>
      </c>
      <c r="I8" s="54"/>
      <c r="J8" s="60">
        <f t="shared" si="0"/>
        <v>0.01</v>
      </c>
      <c r="K8" s="60">
        <f t="shared" si="1"/>
        <v>10</v>
      </c>
      <c r="L8" s="60">
        <f t="shared" si="2"/>
        <v>800</v>
      </c>
      <c r="M8" s="60">
        <f t="shared" si="3"/>
        <v>0.95</v>
      </c>
      <c r="N8" s="60">
        <f t="shared" si="4"/>
        <v>0.65</v>
      </c>
      <c r="O8" s="7"/>
      <c r="P8" s="7">
        <f t="shared" si="12"/>
        <v>849.34655999999984</v>
      </c>
      <c r="Q8" s="7">
        <f t="shared" si="13"/>
        <v>104.52092999999999</v>
      </c>
      <c r="R8" s="7">
        <f t="shared" si="14"/>
        <v>46.132509999999996</v>
      </c>
      <c r="S8" s="7"/>
      <c r="T8" s="7">
        <f t="shared" si="5"/>
        <v>8493.4655999999977</v>
      </c>
      <c r="U8" s="7">
        <f t="shared" si="6"/>
        <v>83616.743999999992</v>
      </c>
      <c r="V8" s="7">
        <f t="shared" si="7"/>
        <v>92110.209599999987</v>
      </c>
      <c r="W8" s="7"/>
      <c r="X8" s="7">
        <f t="shared" si="8"/>
        <v>806.87923199999977</v>
      </c>
      <c r="Y8" s="7">
        <f t="shared" si="9"/>
        <v>67.938604499999997</v>
      </c>
      <c r="Z8" s="8">
        <f t="shared" si="10"/>
        <v>874.81783649999977</v>
      </c>
    </row>
    <row r="9" spans="1:26" x14ac:dyDescent="0.2">
      <c r="A9" s="33" t="s">
        <v>23</v>
      </c>
      <c r="B9" s="34"/>
      <c r="C9" s="34"/>
      <c r="D9" s="34"/>
      <c r="E9" s="34"/>
      <c r="F9" s="35"/>
      <c r="H9" s="6">
        <f t="shared" si="11"/>
        <v>6</v>
      </c>
      <c r="I9" s="54"/>
      <c r="J9" s="60">
        <f t="shared" si="0"/>
        <v>0.01</v>
      </c>
      <c r="K9" s="60">
        <f t="shared" si="1"/>
        <v>10</v>
      </c>
      <c r="L9" s="60">
        <f t="shared" si="2"/>
        <v>800</v>
      </c>
      <c r="M9" s="60">
        <f t="shared" si="3"/>
        <v>0.95</v>
      </c>
      <c r="N9" s="60">
        <f t="shared" si="4"/>
        <v>0.65</v>
      </c>
      <c r="O9" s="7"/>
      <c r="P9" s="7">
        <f t="shared" si="12"/>
        <v>815.37269759999981</v>
      </c>
      <c r="Q9" s="7">
        <f t="shared" si="13"/>
        <v>124.77528029999998</v>
      </c>
      <c r="R9" s="7">
        <f t="shared" si="14"/>
        <v>59.852022099999999</v>
      </c>
      <c r="S9" s="7"/>
      <c r="T9" s="7">
        <f t="shared" si="5"/>
        <v>8153.7269759999981</v>
      </c>
      <c r="U9" s="7">
        <f t="shared" si="6"/>
        <v>99820.224239999981</v>
      </c>
      <c r="V9" s="7">
        <f t="shared" si="7"/>
        <v>107973.95121599999</v>
      </c>
      <c r="W9" s="7"/>
      <c r="X9" s="7">
        <f t="shared" si="8"/>
        <v>774.60406271999977</v>
      </c>
      <c r="Y9" s="7">
        <f t="shared" si="9"/>
        <v>81.103932194999985</v>
      </c>
      <c r="Z9" s="8">
        <f t="shared" si="10"/>
        <v>855.70799491499974</v>
      </c>
    </row>
    <row r="10" spans="1:26" ht="17" thickBot="1" x14ac:dyDescent="0.25">
      <c r="A10" s="53" t="s">
        <v>9</v>
      </c>
      <c r="B10" s="51" t="s">
        <v>19</v>
      </c>
      <c r="C10" s="51" t="s">
        <v>7</v>
      </c>
      <c r="D10" s="51"/>
      <c r="E10" s="51" t="s">
        <v>8</v>
      </c>
      <c r="F10" s="52"/>
      <c r="H10" s="6">
        <f t="shared" si="11"/>
        <v>7</v>
      </c>
      <c r="I10" s="54"/>
      <c r="J10" s="60">
        <f t="shared" si="0"/>
        <v>0.01</v>
      </c>
      <c r="K10" s="60">
        <f t="shared" si="1"/>
        <v>10</v>
      </c>
      <c r="L10" s="60">
        <f t="shared" si="2"/>
        <v>800</v>
      </c>
      <c r="M10" s="60">
        <f t="shared" si="3"/>
        <v>0.95</v>
      </c>
      <c r="N10" s="60">
        <f t="shared" si="4"/>
        <v>0.65</v>
      </c>
      <c r="O10" s="7"/>
      <c r="P10" s="7">
        <f t="shared" si="12"/>
        <v>782.7577896959998</v>
      </c>
      <c r="Q10" s="7">
        <f t="shared" si="13"/>
        <v>142.99769721299998</v>
      </c>
      <c r="R10" s="7">
        <f t="shared" si="14"/>
        <v>74.244513091000002</v>
      </c>
      <c r="S10" s="7"/>
      <c r="T10" s="7">
        <f t="shared" si="5"/>
        <v>7827.5778969599978</v>
      </c>
      <c r="U10" s="7">
        <f t="shared" si="6"/>
        <v>114398.15777039998</v>
      </c>
      <c r="V10" s="7">
        <f t="shared" si="7"/>
        <v>122225.73566735997</v>
      </c>
      <c r="W10" s="7"/>
      <c r="X10" s="7">
        <f t="shared" si="8"/>
        <v>743.61990021119982</v>
      </c>
      <c r="Y10" s="7">
        <f t="shared" si="9"/>
        <v>92.94850318844999</v>
      </c>
      <c r="Z10" s="8">
        <f t="shared" si="10"/>
        <v>836.56840339964981</v>
      </c>
    </row>
    <row r="11" spans="1:26" x14ac:dyDescent="0.2">
      <c r="A11" s="6"/>
      <c r="B11" s="54"/>
      <c r="C11" s="54" t="s">
        <v>11</v>
      </c>
      <c r="D11" s="56" t="s">
        <v>4</v>
      </c>
      <c r="E11" s="56" t="s">
        <v>11</v>
      </c>
      <c r="F11" s="57" t="s">
        <v>22</v>
      </c>
      <c r="H11" s="6">
        <f t="shared" si="11"/>
        <v>8</v>
      </c>
      <c r="I11" s="54"/>
      <c r="J11" s="60">
        <f t="shared" si="0"/>
        <v>0.01</v>
      </c>
      <c r="K11" s="60">
        <f t="shared" si="1"/>
        <v>10</v>
      </c>
      <c r="L11" s="60">
        <f t="shared" si="2"/>
        <v>800</v>
      </c>
      <c r="M11" s="60">
        <f t="shared" si="3"/>
        <v>0.95</v>
      </c>
      <c r="N11" s="60">
        <f t="shared" si="4"/>
        <v>0.65</v>
      </c>
      <c r="O11" s="7"/>
      <c r="P11" s="7">
        <f t="shared" si="12"/>
        <v>751.44747810815977</v>
      </c>
      <c r="Q11" s="7">
        <f t="shared" si="13"/>
        <v>159.33054604322996</v>
      </c>
      <c r="R11" s="7">
        <f t="shared" si="14"/>
        <v>89.221975848610001</v>
      </c>
      <c r="S11" s="7"/>
      <c r="T11" s="7">
        <f t="shared" si="5"/>
        <v>7514.4747810815979</v>
      </c>
      <c r="U11" s="7">
        <f t="shared" si="6"/>
        <v>127464.43683458396</v>
      </c>
      <c r="V11" s="7">
        <f t="shared" si="7"/>
        <v>134978.91161566557</v>
      </c>
      <c r="W11" s="7"/>
      <c r="X11" s="7">
        <f t="shared" si="8"/>
        <v>713.8751042027518</v>
      </c>
      <c r="Y11" s="7">
        <f t="shared" si="9"/>
        <v>103.56485492809948</v>
      </c>
      <c r="Z11" s="8">
        <f t="shared" si="10"/>
        <v>817.43995913085132</v>
      </c>
    </row>
    <row r="12" spans="1:26" x14ac:dyDescent="0.2">
      <c r="A12" s="6">
        <v>1</v>
      </c>
      <c r="B12" s="54">
        <v>0.01</v>
      </c>
      <c r="C12" s="54">
        <v>10</v>
      </c>
      <c r="D12" s="56">
        <v>800</v>
      </c>
      <c r="E12" s="56">
        <v>0.95</v>
      </c>
      <c r="F12" s="57">
        <v>0.65</v>
      </c>
      <c r="H12" s="6">
        <f t="shared" si="11"/>
        <v>9</v>
      </c>
      <c r="I12" s="54"/>
      <c r="J12" s="60">
        <f t="shared" si="0"/>
        <v>0.01</v>
      </c>
      <c r="K12" s="60">
        <f t="shared" si="1"/>
        <v>10</v>
      </c>
      <c r="L12" s="60">
        <f t="shared" si="2"/>
        <v>800</v>
      </c>
      <c r="M12" s="60">
        <f t="shared" si="3"/>
        <v>0.95</v>
      </c>
      <c r="N12" s="60">
        <f t="shared" si="4"/>
        <v>0.65</v>
      </c>
      <c r="O12" s="7"/>
      <c r="P12" s="7">
        <f t="shared" si="12"/>
        <v>721.3895789838333</v>
      </c>
      <c r="Q12" s="7">
        <f t="shared" si="13"/>
        <v>173.90744308431326</v>
      </c>
      <c r="R12" s="7">
        <f t="shared" si="14"/>
        <v>104.7029779318531</v>
      </c>
      <c r="S12" s="7"/>
      <c r="T12" s="7">
        <f t="shared" si="5"/>
        <v>7213.8957898383333</v>
      </c>
      <c r="U12" s="7">
        <f t="shared" si="6"/>
        <v>139125.95446745062</v>
      </c>
      <c r="V12" s="7">
        <f t="shared" si="7"/>
        <v>146339.85025728896</v>
      </c>
      <c r="W12" s="7"/>
      <c r="X12" s="7">
        <f t="shared" si="8"/>
        <v>685.32010003464165</v>
      </c>
      <c r="Y12" s="7">
        <f t="shared" si="9"/>
        <v>113.03983800480363</v>
      </c>
      <c r="Z12" s="8">
        <f t="shared" si="10"/>
        <v>798.3599380394453</v>
      </c>
    </row>
    <row r="13" spans="1:26" x14ac:dyDescent="0.2">
      <c r="A13" s="6">
        <v>11</v>
      </c>
      <c r="B13" s="54">
        <v>0.02</v>
      </c>
      <c r="C13" s="54">
        <v>25</v>
      </c>
      <c r="D13" s="56">
        <v>1000</v>
      </c>
      <c r="E13" s="56">
        <v>0.92</v>
      </c>
      <c r="F13" s="57">
        <v>0.6</v>
      </c>
      <c r="H13" s="6">
        <f t="shared" si="11"/>
        <v>10</v>
      </c>
      <c r="I13" s="54"/>
      <c r="J13" s="60">
        <f t="shared" si="0"/>
        <v>0.01</v>
      </c>
      <c r="K13" s="60">
        <f t="shared" si="1"/>
        <v>10</v>
      </c>
      <c r="L13" s="60">
        <f t="shared" si="2"/>
        <v>800</v>
      </c>
      <c r="M13" s="60">
        <f t="shared" si="3"/>
        <v>0.95</v>
      </c>
      <c r="N13" s="60">
        <f t="shared" si="4"/>
        <v>0.65</v>
      </c>
      <c r="O13" s="7"/>
      <c r="P13" s="7">
        <f t="shared" si="12"/>
        <v>692.53399582447992</v>
      </c>
      <c r="Q13" s="7">
        <f t="shared" si="13"/>
        <v>186.85375829961259</v>
      </c>
      <c r="R13" s="7">
        <f t="shared" si="14"/>
        <v>120.61224587590709</v>
      </c>
      <c r="S13" s="7"/>
      <c r="T13" s="7">
        <f t="shared" si="5"/>
        <v>6925.3399582447992</v>
      </c>
      <c r="U13" s="7">
        <f t="shared" si="6"/>
        <v>149483.00663969008</v>
      </c>
      <c r="V13" s="7">
        <f t="shared" si="7"/>
        <v>156408.34659793487</v>
      </c>
      <c r="W13" s="7"/>
      <c r="X13" s="7">
        <f t="shared" si="8"/>
        <v>657.90729603325588</v>
      </c>
      <c r="Y13" s="7">
        <f t="shared" si="9"/>
        <v>121.45494289474819</v>
      </c>
      <c r="Z13" s="8">
        <f t="shared" si="10"/>
        <v>779.3622389280041</v>
      </c>
    </row>
    <row r="14" spans="1:26" x14ac:dyDescent="0.2">
      <c r="A14" s="6">
        <v>21</v>
      </c>
      <c r="B14" s="56">
        <v>0.04</v>
      </c>
      <c r="C14" s="56">
        <v>40</v>
      </c>
      <c r="D14" s="56">
        <v>1200</v>
      </c>
      <c r="E14" s="56">
        <v>0.88</v>
      </c>
      <c r="F14" s="57">
        <v>0.55000000000000004</v>
      </c>
      <c r="H14" s="6">
        <f t="shared" si="11"/>
        <v>11</v>
      </c>
      <c r="I14" s="54"/>
      <c r="J14" s="60">
        <f t="shared" si="0"/>
        <v>0.02</v>
      </c>
      <c r="K14" s="60">
        <f t="shared" si="1"/>
        <v>25</v>
      </c>
      <c r="L14" s="60">
        <f t="shared" si="2"/>
        <v>1000</v>
      </c>
      <c r="M14" s="60">
        <f t="shared" si="3"/>
        <v>0.92</v>
      </c>
      <c r="N14" s="60">
        <f t="shared" si="4"/>
        <v>0.6</v>
      </c>
      <c r="O14" s="7"/>
      <c r="P14" s="7">
        <f t="shared" si="12"/>
        <v>664.83263599150075</v>
      </c>
      <c r="Q14" s="7">
        <f t="shared" si="13"/>
        <v>198.28709025936635</v>
      </c>
      <c r="R14" s="7">
        <f t="shared" si="14"/>
        <v>136.88027374913253</v>
      </c>
      <c r="S14" s="7"/>
      <c r="T14" s="7">
        <f t="shared" si="5"/>
        <v>16620.815899787518</v>
      </c>
      <c r="U14" s="7">
        <f t="shared" si="6"/>
        <v>198287.09025936635</v>
      </c>
      <c r="V14" s="7">
        <f t="shared" si="7"/>
        <v>214907.90615915388</v>
      </c>
      <c r="W14" s="7"/>
      <c r="X14" s="7">
        <f t="shared" si="8"/>
        <v>611.64602511218072</v>
      </c>
      <c r="Y14" s="7">
        <f t="shared" si="9"/>
        <v>118.97225415561981</v>
      </c>
      <c r="Z14" s="8">
        <f t="shared" si="10"/>
        <v>730.61827926780052</v>
      </c>
    </row>
    <row r="15" spans="1:26" ht="17" thickBot="1" x14ac:dyDescent="0.25">
      <c r="A15" s="9">
        <v>31</v>
      </c>
      <c r="B15" s="58">
        <v>0.08</v>
      </c>
      <c r="C15" s="58">
        <v>80</v>
      </c>
      <c r="D15" s="58">
        <v>1000</v>
      </c>
      <c r="E15" s="58">
        <v>0.85</v>
      </c>
      <c r="F15" s="59">
        <v>0.5</v>
      </c>
      <c r="H15" s="6">
        <f t="shared" si="11"/>
        <v>12</v>
      </c>
      <c r="I15" s="54"/>
      <c r="J15" s="60">
        <f t="shared" si="0"/>
        <v>0.02</v>
      </c>
      <c r="K15" s="60">
        <f t="shared" si="1"/>
        <v>25</v>
      </c>
      <c r="L15" s="60">
        <f t="shared" si="2"/>
        <v>1000</v>
      </c>
      <c r="M15" s="60">
        <f t="shared" si="3"/>
        <v>0.92</v>
      </c>
      <c r="N15" s="60">
        <f t="shared" si="4"/>
        <v>0.6</v>
      </c>
      <c r="O15" s="7"/>
      <c r="P15" s="7">
        <f t="shared" si="12"/>
        <v>638.23933055184068</v>
      </c>
      <c r="Q15" s="7">
        <f t="shared" si="13"/>
        <v>206.33484392354939</v>
      </c>
      <c r="R15" s="7">
        <f t="shared" si="14"/>
        <v>162.07415188452453</v>
      </c>
      <c r="S15" s="7"/>
      <c r="T15" s="7">
        <f t="shared" si="5"/>
        <v>15955.983263796017</v>
      </c>
      <c r="U15" s="7">
        <f t="shared" si="6"/>
        <v>206334.84392354937</v>
      </c>
      <c r="V15" s="7">
        <f t="shared" si="7"/>
        <v>222290.82718734539</v>
      </c>
      <c r="W15" s="7"/>
      <c r="X15" s="7">
        <f t="shared" si="8"/>
        <v>587.18018410769344</v>
      </c>
      <c r="Y15" s="7">
        <f t="shared" si="9"/>
        <v>123.80090635412962</v>
      </c>
      <c r="Z15" s="8">
        <f t="shared" si="10"/>
        <v>710.9810904618231</v>
      </c>
    </row>
    <row r="16" spans="1:26" x14ac:dyDescent="0.2">
      <c r="H16" s="6">
        <f t="shared" si="11"/>
        <v>13</v>
      </c>
      <c r="I16" s="54"/>
      <c r="J16" s="60">
        <f t="shared" si="0"/>
        <v>0.02</v>
      </c>
      <c r="K16" s="60">
        <f t="shared" si="1"/>
        <v>25</v>
      </c>
      <c r="L16" s="60">
        <f t="shared" si="2"/>
        <v>1000</v>
      </c>
      <c r="M16" s="60">
        <f t="shared" si="3"/>
        <v>0.92</v>
      </c>
      <c r="N16" s="60">
        <f t="shared" si="4"/>
        <v>0.6</v>
      </c>
      <c r="O16" s="7"/>
      <c r="P16" s="7">
        <f t="shared" si="12"/>
        <v>612.70975732976706</v>
      </c>
      <c r="Q16" s="7">
        <f t="shared" si="13"/>
        <v>213.10193320469162</v>
      </c>
      <c r="R16" s="7">
        <f t="shared" si="14"/>
        <v>187.21902913097429</v>
      </c>
      <c r="S16" s="7"/>
      <c r="T16" s="7">
        <f t="shared" si="5"/>
        <v>15317.743933244177</v>
      </c>
      <c r="U16" s="7">
        <f t="shared" si="6"/>
        <v>213101.93320469162</v>
      </c>
      <c r="V16" s="7">
        <f t="shared" si="7"/>
        <v>228419.6771379358</v>
      </c>
      <c r="W16" s="7"/>
      <c r="X16" s="7">
        <f t="shared" si="8"/>
        <v>563.69297674338577</v>
      </c>
      <c r="Y16" s="7">
        <f t="shared" si="9"/>
        <v>127.86115992281496</v>
      </c>
      <c r="Z16" s="8">
        <f t="shared" si="10"/>
        <v>691.55413666620075</v>
      </c>
    </row>
    <row r="17" spans="8:26" x14ac:dyDescent="0.2">
      <c r="H17" s="6">
        <f t="shared" si="11"/>
        <v>14</v>
      </c>
      <c r="I17" s="54"/>
      <c r="J17" s="60">
        <f t="shared" si="0"/>
        <v>0.02</v>
      </c>
      <c r="K17" s="60">
        <f t="shared" si="1"/>
        <v>25</v>
      </c>
      <c r="L17" s="60">
        <f t="shared" si="2"/>
        <v>1000</v>
      </c>
      <c r="M17" s="60">
        <f t="shared" si="3"/>
        <v>0.92</v>
      </c>
      <c r="N17" s="60">
        <f t="shared" si="4"/>
        <v>0.6</v>
      </c>
      <c r="O17" s="7"/>
      <c r="P17" s="7">
        <f t="shared" si="12"/>
        <v>588.20136703657636</v>
      </c>
      <c r="Q17" s="7">
        <f t="shared" si="13"/>
        <v>218.69710993230314</v>
      </c>
      <c r="R17" s="7">
        <f t="shared" si="14"/>
        <v>212.25934026985112</v>
      </c>
      <c r="S17" s="7"/>
      <c r="T17" s="7">
        <f t="shared" si="5"/>
        <v>14705.034175914408</v>
      </c>
      <c r="U17" s="7">
        <f t="shared" si="6"/>
        <v>218697.10993230314</v>
      </c>
      <c r="V17" s="7">
        <f t="shared" si="7"/>
        <v>233402.14410821756</v>
      </c>
      <c r="W17" s="7"/>
      <c r="X17" s="7">
        <f t="shared" si="8"/>
        <v>541.14525767365024</v>
      </c>
      <c r="Y17" s="7">
        <f t="shared" si="9"/>
        <v>131.21826595938188</v>
      </c>
      <c r="Z17" s="8">
        <f t="shared" si="10"/>
        <v>672.36352363303217</v>
      </c>
    </row>
    <row r="18" spans="8:26" x14ac:dyDescent="0.2">
      <c r="H18" s="6">
        <f t="shared" si="11"/>
        <v>15</v>
      </c>
      <c r="I18" s="54"/>
      <c r="J18" s="60">
        <f t="shared" si="0"/>
        <v>0.02</v>
      </c>
      <c r="K18" s="60">
        <f t="shared" si="1"/>
        <v>25</v>
      </c>
      <c r="L18" s="60">
        <f t="shared" si="2"/>
        <v>1000</v>
      </c>
      <c r="M18" s="60">
        <f t="shared" si="3"/>
        <v>0.92</v>
      </c>
      <c r="N18" s="60">
        <f t="shared" si="4"/>
        <v>0.6</v>
      </c>
      <c r="O18" s="7"/>
      <c r="P18" s="7">
        <f t="shared" si="12"/>
        <v>564.67331235511324</v>
      </c>
      <c r="Q18" s="7">
        <f t="shared" si="13"/>
        <v>223.22132434746223</v>
      </c>
      <c r="R18" s="7">
        <f t="shared" si="14"/>
        <v>237.14519420652084</v>
      </c>
      <c r="S18" s="7"/>
      <c r="T18" s="7">
        <f t="shared" si="5"/>
        <v>14116.832808877831</v>
      </c>
      <c r="U18" s="7">
        <f t="shared" si="6"/>
        <v>223221.32434746224</v>
      </c>
      <c r="V18" s="7">
        <f t="shared" si="7"/>
        <v>237338.15715634008</v>
      </c>
      <c r="W18" s="7"/>
      <c r="X18" s="7">
        <f t="shared" si="8"/>
        <v>519.4994473667042</v>
      </c>
      <c r="Y18" s="7">
        <f t="shared" si="9"/>
        <v>133.93279460847734</v>
      </c>
      <c r="Z18" s="8">
        <f t="shared" si="10"/>
        <v>653.43224197518157</v>
      </c>
    </row>
    <row r="19" spans="8:26" x14ac:dyDescent="0.2">
      <c r="H19" s="6">
        <f t="shared" si="11"/>
        <v>16</v>
      </c>
      <c r="I19" s="54"/>
      <c r="J19" s="60">
        <f t="shared" si="0"/>
        <v>0.02</v>
      </c>
      <c r="K19" s="60">
        <f t="shared" si="1"/>
        <v>25</v>
      </c>
      <c r="L19" s="60">
        <f t="shared" si="2"/>
        <v>1000</v>
      </c>
      <c r="M19" s="60">
        <f t="shared" si="3"/>
        <v>0.92</v>
      </c>
      <c r="N19" s="60">
        <f t="shared" si="4"/>
        <v>0.6</v>
      </c>
      <c r="O19" s="7"/>
      <c r="P19" s="7">
        <f t="shared" si="12"/>
        <v>542.08637986090866</v>
      </c>
      <c r="Q19" s="7">
        <f t="shared" si="13"/>
        <v>226.7682442572679</v>
      </c>
      <c r="R19" s="7">
        <f t="shared" si="14"/>
        <v>261.83193991447081</v>
      </c>
      <c r="S19" s="7"/>
      <c r="T19" s="7">
        <f t="shared" si="5"/>
        <v>13552.159496522716</v>
      </c>
      <c r="U19" s="7">
        <f t="shared" si="6"/>
        <v>226768.24425726788</v>
      </c>
      <c r="V19" s="7">
        <f t="shared" si="7"/>
        <v>240320.4037537906</v>
      </c>
      <c r="W19" s="7"/>
      <c r="X19" s="7">
        <f t="shared" si="8"/>
        <v>498.719469472036</v>
      </c>
      <c r="Y19" s="7">
        <f t="shared" si="9"/>
        <v>136.06094655436073</v>
      </c>
      <c r="Z19" s="8">
        <f t="shared" si="10"/>
        <v>634.78041602639678</v>
      </c>
    </row>
    <row r="20" spans="8:26" x14ac:dyDescent="0.2">
      <c r="H20" s="6">
        <f t="shared" si="11"/>
        <v>17</v>
      </c>
      <c r="I20" s="54"/>
      <c r="J20" s="60">
        <f t="shared" si="0"/>
        <v>0.02</v>
      </c>
      <c r="K20" s="60">
        <f t="shared" si="1"/>
        <v>25</v>
      </c>
      <c r="L20" s="60">
        <f t="shared" si="2"/>
        <v>1000</v>
      </c>
      <c r="M20" s="60">
        <f t="shared" si="3"/>
        <v>0.92</v>
      </c>
      <c r="N20" s="60">
        <f t="shared" si="4"/>
        <v>0.6</v>
      </c>
      <c r="O20" s="7"/>
      <c r="P20" s="7">
        <f t="shared" si="12"/>
        <v>520.40292466647225</v>
      </c>
      <c r="Q20" s="7">
        <f t="shared" si="13"/>
        <v>229.42474099765906</v>
      </c>
      <c r="R20" s="7">
        <f t="shared" si="14"/>
        <v>286.27976216712506</v>
      </c>
      <c r="S20" s="7"/>
      <c r="T20" s="7">
        <f t="shared" si="5"/>
        <v>13010.073116661806</v>
      </c>
      <c r="U20" s="7">
        <f t="shared" si="6"/>
        <v>229424.74099765907</v>
      </c>
      <c r="V20" s="7">
        <f t="shared" si="7"/>
        <v>242434.81411432088</v>
      </c>
      <c r="W20" s="7"/>
      <c r="X20" s="7">
        <f t="shared" si="8"/>
        <v>478.77069069315451</v>
      </c>
      <c r="Y20" s="7">
        <f t="shared" si="9"/>
        <v>137.65484459859542</v>
      </c>
      <c r="Z20" s="8">
        <f t="shared" si="10"/>
        <v>616.42553529174995</v>
      </c>
    </row>
    <row r="21" spans="8:26" x14ac:dyDescent="0.2">
      <c r="H21" s="6">
        <f t="shared" si="11"/>
        <v>18</v>
      </c>
      <c r="I21" s="54"/>
      <c r="J21" s="60">
        <f t="shared" si="0"/>
        <v>0.02</v>
      </c>
      <c r="K21" s="60">
        <f t="shared" si="1"/>
        <v>25</v>
      </c>
      <c r="L21" s="60">
        <f t="shared" si="2"/>
        <v>1000</v>
      </c>
      <c r="M21" s="60">
        <f t="shared" si="3"/>
        <v>0.92</v>
      </c>
      <c r="N21" s="60">
        <f t="shared" si="4"/>
        <v>0.6</v>
      </c>
      <c r="O21" s="7"/>
      <c r="P21" s="7">
        <f t="shared" si="12"/>
        <v>499.58680767981332</v>
      </c>
      <c r="Q21" s="7">
        <f t="shared" si="13"/>
        <v>231.27134427779367</v>
      </c>
      <c r="R21" s="7">
        <f t="shared" si="14"/>
        <v>310.45330512031404</v>
      </c>
      <c r="S21" s="7"/>
      <c r="T21" s="7">
        <f t="shared" si="5"/>
        <v>12489.670191995334</v>
      </c>
      <c r="U21" s="7">
        <f t="shared" si="6"/>
        <v>231271.34427779369</v>
      </c>
      <c r="V21" s="7">
        <f t="shared" si="7"/>
        <v>243761.01446978902</v>
      </c>
      <c r="W21" s="7"/>
      <c r="X21" s="7">
        <f t="shared" si="8"/>
        <v>459.61986306542826</v>
      </c>
      <c r="Y21" s="7">
        <f t="shared" si="9"/>
        <v>138.7628065666762</v>
      </c>
      <c r="Z21" s="8">
        <f t="shared" si="10"/>
        <v>598.38266963210447</v>
      </c>
    </row>
    <row r="22" spans="8:26" x14ac:dyDescent="0.2">
      <c r="H22" s="6">
        <f t="shared" si="11"/>
        <v>19</v>
      </c>
      <c r="I22" s="54"/>
      <c r="J22" s="60">
        <f t="shared" si="0"/>
        <v>0.02</v>
      </c>
      <c r="K22" s="60">
        <f t="shared" si="1"/>
        <v>25</v>
      </c>
      <c r="L22" s="60">
        <f t="shared" si="2"/>
        <v>1000</v>
      </c>
      <c r="M22" s="60">
        <f t="shared" si="3"/>
        <v>0.92</v>
      </c>
      <c r="N22" s="60">
        <f t="shared" si="4"/>
        <v>0.6</v>
      </c>
      <c r="O22" s="7"/>
      <c r="P22" s="7">
        <f t="shared" si="12"/>
        <v>479.60333537262079</v>
      </c>
      <c r="Q22" s="7">
        <f t="shared" si="13"/>
        <v>232.38266785152044</v>
      </c>
      <c r="R22" s="7">
        <f t="shared" si="14"/>
        <v>334.32132193057794</v>
      </c>
      <c r="S22" s="7"/>
      <c r="T22" s="7">
        <f t="shared" si="5"/>
        <v>11990.08338431552</v>
      </c>
      <c r="U22" s="7">
        <f t="shared" si="6"/>
        <v>232382.66785152044</v>
      </c>
      <c r="V22" s="7">
        <f t="shared" si="7"/>
        <v>244372.75123583595</v>
      </c>
      <c r="W22" s="7"/>
      <c r="X22" s="7">
        <f t="shared" si="8"/>
        <v>441.23506854281112</v>
      </c>
      <c r="Y22" s="7">
        <f t="shared" si="9"/>
        <v>139.42960071091227</v>
      </c>
      <c r="Z22" s="8">
        <f t="shared" si="10"/>
        <v>580.66466925372333</v>
      </c>
    </row>
    <row r="23" spans="8:26" x14ac:dyDescent="0.2">
      <c r="H23" s="6">
        <f t="shared" si="11"/>
        <v>20</v>
      </c>
      <c r="I23" s="54"/>
      <c r="J23" s="60">
        <f t="shared" si="0"/>
        <v>0.02</v>
      </c>
      <c r="K23" s="60">
        <f t="shared" si="1"/>
        <v>25</v>
      </c>
      <c r="L23" s="60">
        <f t="shared" si="2"/>
        <v>1000</v>
      </c>
      <c r="M23" s="60">
        <f t="shared" si="3"/>
        <v>0.92</v>
      </c>
      <c r="N23" s="60">
        <f t="shared" si="4"/>
        <v>0.6</v>
      </c>
      <c r="O23" s="7"/>
      <c r="P23" s="7">
        <f t="shared" si="12"/>
        <v>460.41920195771593</v>
      </c>
      <c r="Q23" s="7">
        <f t="shared" si="13"/>
        <v>232.82780784160781</v>
      </c>
      <c r="R23" s="7">
        <f t="shared" si="14"/>
        <v>357.85634870912156</v>
      </c>
      <c r="S23" s="7"/>
      <c r="T23" s="7">
        <f t="shared" si="5"/>
        <v>11510.480048942898</v>
      </c>
      <c r="U23" s="7">
        <f t="shared" si="6"/>
        <v>232827.80784160781</v>
      </c>
      <c r="V23" s="7">
        <f t="shared" si="7"/>
        <v>244338.28789055071</v>
      </c>
      <c r="W23" s="7"/>
      <c r="X23" s="7">
        <f t="shared" si="8"/>
        <v>423.58566580109868</v>
      </c>
      <c r="Y23" s="7">
        <f t="shared" si="9"/>
        <v>139.69668470496467</v>
      </c>
      <c r="Z23" s="8">
        <f t="shared" si="10"/>
        <v>563.28235050606338</v>
      </c>
    </row>
    <row r="24" spans="8:26" x14ac:dyDescent="0.2">
      <c r="H24" s="6">
        <f t="shared" si="11"/>
        <v>21</v>
      </c>
      <c r="I24" s="54"/>
      <c r="J24" s="60">
        <f t="shared" si="0"/>
        <v>0.04</v>
      </c>
      <c r="K24" s="60">
        <f t="shared" si="1"/>
        <v>40</v>
      </c>
      <c r="L24" s="60">
        <f t="shared" si="2"/>
        <v>1200</v>
      </c>
      <c r="M24" s="60">
        <f t="shared" si="3"/>
        <v>0.88</v>
      </c>
      <c r="N24" s="60">
        <f t="shared" si="4"/>
        <v>0.55000000000000004</v>
      </c>
      <c r="O24" s="7"/>
      <c r="P24" s="7">
        <f t="shared" si="12"/>
        <v>442.00243387940725</v>
      </c>
      <c r="Q24" s="7">
        <f t="shared" si="13"/>
        <v>232.6707154298428</v>
      </c>
      <c r="R24" s="7">
        <f t="shared" si="14"/>
        <v>381.03440121877236</v>
      </c>
      <c r="S24" s="7"/>
      <c r="T24" s="7">
        <f t="shared" si="5"/>
        <v>17680.097355176291</v>
      </c>
      <c r="U24" s="7">
        <f t="shared" si="6"/>
        <v>279204.85851581139</v>
      </c>
      <c r="V24" s="7">
        <f t="shared" si="7"/>
        <v>296884.95587098767</v>
      </c>
      <c r="W24" s="7"/>
      <c r="X24" s="7">
        <f t="shared" si="8"/>
        <v>388.96214181387836</v>
      </c>
      <c r="Y24" s="7">
        <f t="shared" si="9"/>
        <v>127.96889348641355</v>
      </c>
      <c r="Z24" s="8">
        <f t="shared" si="10"/>
        <v>516.93103530029191</v>
      </c>
    </row>
    <row r="25" spans="8:26" x14ac:dyDescent="0.2">
      <c r="H25" s="6">
        <f t="shared" si="11"/>
        <v>22</v>
      </c>
      <c r="I25" s="54"/>
      <c r="J25" s="60">
        <f t="shared" si="0"/>
        <v>0.04</v>
      </c>
      <c r="K25" s="60">
        <f t="shared" si="1"/>
        <v>40</v>
      </c>
      <c r="L25" s="60">
        <f t="shared" si="2"/>
        <v>1200</v>
      </c>
      <c r="M25" s="60">
        <f t="shared" si="3"/>
        <v>0.88</v>
      </c>
      <c r="N25" s="60">
        <f t="shared" si="4"/>
        <v>0.55000000000000004</v>
      </c>
      <c r="O25" s="7"/>
      <c r="P25" s="7">
        <f t="shared" si="12"/>
        <v>424.32233652423093</v>
      </c>
      <c r="Q25" s="7">
        <f t="shared" si="13"/>
        <v>227.31713121183759</v>
      </c>
      <c r="R25" s="7">
        <f t="shared" si="14"/>
        <v>417.32815580833608</v>
      </c>
      <c r="S25" s="7"/>
      <c r="T25" s="7">
        <f t="shared" si="5"/>
        <v>16972.893460969237</v>
      </c>
      <c r="U25" s="7">
        <f t="shared" si="6"/>
        <v>272780.55745420512</v>
      </c>
      <c r="V25" s="7">
        <f t="shared" si="7"/>
        <v>289753.45091517433</v>
      </c>
      <c r="W25" s="7"/>
      <c r="X25" s="7">
        <f t="shared" si="8"/>
        <v>373.40365614132321</v>
      </c>
      <c r="Y25" s="7">
        <f t="shared" si="9"/>
        <v>125.02442216651069</v>
      </c>
      <c r="Z25" s="8">
        <f t="shared" si="10"/>
        <v>498.42807830783391</v>
      </c>
    </row>
    <row r="26" spans="8:26" x14ac:dyDescent="0.2">
      <c r="H26" s="6">
        <f t="shared" si="11"/>
        <v>23</v>
      </c>
      <c r="I26" s="54"/>
      <c r="J26" s="60">
        <f t="shared" si="0"/>
        <v>0.04</v>
      </c>
      <c r="K26" s="60">
        <f t="shared" si="1"/>
        <v>40</v>
      </c>
      <c r="L26" s="60">
        <f t="shared" si="2"/>
        <v>1200</v>
      </c>
      <c r="M26" s="60">
        <f t="shared" si="3"/>
        <v>0.88</v>
      </c>
      <c r="N26" s="60">
        <f t="shared" si="4"/>
        <v>0.55000000000000004</v>
      </c>
      <c r="O26" s="7"/>
      <c r="P26" s="7">
        <f t="shared" si="12"/>
        <v>407.34944306326167</v>
      </c>
      <c r="Q26" s="7">
        <f t="shared" si="13"/>
        <v>221.86143081061749</v>
      </c>
      <c r="R26" s="7">
        <f t="shared" si="14"/>
        <v>452.48641976625231</v>
      </c>
      <c r="S26" s="7"/>
      <c r="T26" s="7">
        <f t="shared" si="5"/>
        <v>16293.977722530468</v>
      </c>
      <c r="U26" s="7">
        <f t="shared" si="6"/>
        <v>266233.71697274101</v>
      </c>
      <c r="V26" s="7">
        <f t="shared" si="7"/>
        <v>282527.69469527149</v>
      </c>
      <c r="W26" s="7"/>
      <c r="X26" s="7">
        <f t="shared" si="8"/>
        <v>358.46750989567028</v>
      </c>
      <c r="Y26" s="7">
        <f t="shared" si="9"/>
        <v>122.02378694583963</v>
      </c>
      <c r="Z26" s="8">
        <f t="shared" si="10"/>
        <v>480.49129684150989</v>
      </c>
    </row>
    <row r="27" spans="8:26" x14ac:dyDescent="0.2">
      <c r="H27" s="6">
        <f t="shared" si="11"/>
        <v>24</v>
      </c>
      <c r="I27" s="54"/>
      <c r="J27" s="60">
        <f t="shared" si="0"/>
        <v>0.04</v>
      </c>
      <c r="K27" s="60">
        <f t="shared" si="1"/>
        <v>40</v>
      </c>
      <c r="L27" s="60">
        <f t="shared" si="2"/>
        <v>1200</v>
      </c>
      <c r="M27" s="60">
        <f t="shared" si="3"/>
        <v>0.88</v>
      </c>
      <c r="N27" s="60">
        <f t="shared" si="4"/>
        <v>0.55000000000000004</v>
      </c>
      <c r="O27" s="7"/>
      <c r="P27" s="7">
        <f t="shared" si="12"/>
        <v>391.05546534073119</v>
      </c>
      <c r="Q27" s="7">
        <f t="shared" si="13"/>
        <v>216.33299963766592</v>
      </c>
      <c r="R27" s="7">
        <f t="shared" si="14"/>
        <v>486.52931195363215</v>
      </c>
      <c r="S27" s="7"/>
      <c r="T27" s="7">
        <f t="shared" si="5"/>
        <v>15642.218613629248</v>
      </c>
      <c r="U27" s="7">
        <f t="shared" si="6"/>
        <v>259599.59956519911</v>
      </c>
      <c r="V27" s="7">
        <f t="shared" si="7"/>
        <v>275241.81817882834</v>
      </c>
      <c r="W27" s="7"/>
      <c r="X27" s="7">
        <f t="shared" si="8"/>
        <v>344.12880949984344</v>
      </c>
      <c r="Y27" s="7">
        <f t="shared" si="9"/>
        <v>118.98314980071626</v>
      </c>
      <c r="Z27" s="8">
        <f t="shared" si="10"/>
        <v>463.1119593005597</v>
      </c>
    </row>
    <row r="28" spans="8:26" x14ac:dyDescent="0.2">
      <c r="H28" s="6">
        <f t="shared" si="11"/>
        <v>25</v>
      </c>
      <c r="I28" s="54"/>
      <c r="J28" s="60">
        <f t="shared" si="0"/>
        <v>0.04</v>
      </c>
      <c r="K28" s="60">
        <f t="shared" si="1"/>
        <v>40</v>
      </c>
      <c r="L28" s="60">
        <f t="shared" si="2"/>
        <v>1200</v>
      </c>
      <c r="M28" s="60">
        <f t="shared" si="3"/>
        <v>0.88</v>
      </c>
      <c r="N28" s="60">
        <f t="shared" si="4"/>
        <v>0.55000000000000004</v>
      </c>
      <c r="O28" s="7"/>
      <c r="P28" s="7">
        <f t="shared" si="12"/>
        <v>375.41324672710192</v>
      </c>
      <c r="Q28" s="7">
        <f t="shared" si="13"/>
        <v>210.75802362687458</v>
      </c>
      <c r="R28" s="7">
        <f t="shared" si="14"/>
        <v>519.47817053827464</v>
      </c>
      <c r="S28" s="7"/>
      <c r="T28" s="7">
        <f t="shared" si="5"/>
        <v>15016.529869084077</v>
      </c>
      <c r="U28" s="7">
        <f t="shared" si="6"/>
        <v>252909.62835224948</v>
      </c>
      <c r="V28" s="7">
        <f t="shared" si="7"/>
        <v>267926.15822133358</v>
      </c>
      <c r="W28" s="7"/>
      <c r="X28" s="7">
        <f t="shared" si="8"/>
        <v>330.36365711984968</v>
      </c>
      <c r="Y28" s="7">
        <f t="shared" si="9"/>
        <v>115.91691299478103</v>
      </c>
      <c r="Z28" s="8">
        <f t="shared" si="10"/>
        <v>446.28057011463068</v>
      </c>
    </row>
    <row r="29" spans="8:26" x14ac:dyDescent="0.2">
      <c r="H29" s="6">
        <f t="shared" si="11"/>
        <v>26</v>
      </c>
      <c r="I29" s="54"/>
      <c r="J29" s="60">
        <f t="shared" si="0"/>
        <v>0.04</v>
      </c>
      <c r="K29" s="60">
        <f t="shared" si="1"/>
        <v>40</v>
      </c>
      <c r="L29" s="60">
        <f t="shared" si="2"/>
        <v>1200</v>
      </c>
      <c r="M29" s="60">
        <f t="shared" si="3"/>
        <v>0.88</v>
      </c>
      <c r="N29" s="60">
        <f t="shared" si="4"/>
        <v>0.55000000000000004</v>
      </c>
      <c r="O29" s="7"/>
      <c r="P29" s="7">
        <f t="shared" si="12"/>
        <v>360.39671685801784</v>
      </c>
      <c r="Q29" s="7">
        <f t="shared" si="13"/>
        <v>205.15977913853763</v>
      </c>
      <c r="R29" s="7">
        <f t="shared" si="14"/>
        <v>551.35534229750874</v>
      </c>
      <c r="S29" s="7"/>
      <c r="T29" s="7">
        <f t="shared" si="5"/>
        <v>14415.868674320714</v>
      </c>
      <c r="U29" s="7">
        <f t="shared" si="6"/>
        <v>246191.73496624516</v>
      </c>
      <c r="V29" s="7">
        <f t="shared" si="7"/>
        <v>260607.60364056588</v>
      </c>
      <c r="W29" s="7"/>
      <c r="X29" s="7">
        <f t="shared" si="8"/>
        <v>317.14911083505569</v>
      </c>
      <c r="Y29" s="7">
        <f t="shared" si="9"/>
        <v>112.83787852619571</v>
      </c>
      <c r="Z29" s="8">
        <f t="shared" si="10"/>
        <v>429.9869893612514</v>
      </c>
    </row>
    <row r="30" spans="8:26" x14ac:dyDescent="0.2">
      <c r="H30" s="6">
        <f t="shared" si="11"/>
        <v>27</v>
      </c>
      <c r="I30" s="54"/>
      <c r="J30" s="60">
        <f t="shared" si="0"/>
        <v>0.04</v>
      </c>
      <c r="K30" s="60">
        <f t="shared" si="1"/>
        <v>40</v>
      </c>
      <c r="L30" s="60">
        <f t="shared" si="2"/>
        <v>1200</v>
      </c>
      <c r="M30" s="60">
        <f t="shared" si="3"/>
        <v>0.88</v>
      </c>
      <c r="N30" s="60">
        <f t="shared" si="4"/>
        <v>0.55000000000000004</v>
      </c>
      <c r="O30" s="7"/>
      <c r="P30" s="7">
        <f t="shared" si="12"/>
        <v>345.98084818369711</v>
      </c>
      <c r="Q30" s="7">
        <f t="shared" si="13"/>
        <v>199.55889831319513</v>
      </c>
      <c r="R30" s="7">
        <f t="shared" si="14"/>
        <v>582.18399330291243</v>
      </c>
      <c r="S30" s="7"/>
      <c r="T30" s="7">
        <f t="shared" si="5"/>
        <v>13839.233927347885</v>
      </c>
      <c r="U30" s="7">
        <f t="shared" si="6"/>
        <v>239470.67797583414</v>
      </c>
      <c r="V30" s="7">
        <f t="shared" si="7"/>
        <v>253309.91190318202</v>
      </c>
      <c r="W30" s="7"/>
      <c r="X30" s="7">
        <f t="shared" si="8"/>
        <v>304.46314640165343</v>
      </c>
      <c r="Y30" s="7">
        <f t="shared" si="9"/>
        <v>109.75739407225733</v>
      </c>
      <c r="Z30" s="8">
        <f t="shared" si="10"/>
        <v>414.22054047391077</v>
      </c>
    </row>
    <row r="31" spans="8:26" x14ac:dyDescent="0.2">
      <c r="H31" s="6">
        <f t="shared" si="11"/>
        <v>28</v>
      </c>
      <c r="I31" s="54"/>
      <c r="J31" s="60">
        <f t="shared" si="0"/>
        <v>0.04</v>
      </c>
      <c r="K31" s="60">
        <f t="shared" si="1"/>
        <v>40</v>
      </c>
      <c r="L31" s="60">
        <f t="shared" si="2"/>
        <v>1200</v>
      </c>
      <c r="M31" s="60">
        <f t="shared" si="3"/>
        <v>0.88</v>
      </c>
      <c r="N31" s="60">
        <f t="shared" si="4"/>
        <v>0.55000000000000004</v>
      </c>
      <c r="O31" s="7"/>
      <c r="P31" s="7">
        <f t="shared" si="12"/>
        <v>332.14161425634921</v>
      </c>
      <c r="Q31" s="7">
        <f t="shared" si="13"/>
        <v>193.97361189365043</v>
      </c>
      <c r="R31" s="7">
        <f t="shared" si="14"/>
        <v>611.98793909531594</v>
      </c>
      <c r="S31" s="7"/>
      <c r="T31" s="7">
        <f t="shared" si="5"/>
        <v>13285.664570253968</v>
      </c>
      <c r="U31" s="7">
        <f t="shared" si="6"/>
        <v>232768.33427238051</v>
      </c>
      <c r="V31" s="7">
        <f t="shared" si="7"/>
        <v>246053.99884263449</v>
      </c>
      <c r="W31" s="7"/>
      <c r="X31" s="7">
        <f t="shared" si="8"/>
        <v>292.2846205455873</v>
      </c>
      <c r="Y31" s="7">
        <f t="shared" si="9"/>
        <v>106.68548654150774</v>
      </c>
      <c r="Z31" s="8">
        <f t="shared" si="10"/>
        <v>398.97010708709502</v>
      </c>
    </row>
    <row r="32" spans="8:26" x14ac:dyDescent="0.2">
      <c r="H32" s="6">
        <f t="shared" si="11"/>
        <v>29</v>
      </c>
      <c r="I32" s="54"/>
      <c r="J32" s="60">
        <f t="shared" si="0"/>
        <v>0.04</v>
      </c>
      <c r="K32" s="60">
        <f t="shared" si="1"/>
        <v>40</v>
      </c>
      <c r="L32" s="60">
        <f t="shared" si="2"/>
        <v>1200</v>
      </c>
      <c r="M32" s="60">
        <f t="shared" si="3"/>
        <v>0.88</v>
      </c>
      <c r="N32" s="60">
        <f t="shared" si="4"/>
        <v>0.55000000000000004</v>
      </c>
      <c r="O32" s="7"/>
      <c r="P32" s="7">
        <f t="shared" si="12"/>
        <v>318.85594968609524</v>
      </c>
      <c r="Q32" s="7">
        <f t="shared" si="13"/>
        <v>188.41997136984887</v>
      </c>
      <c r="R32" s="7">
        <f t="shared" si="14"/>
        <v>640.79149261706198</v>
      </c>
      <c r="S32" s="7"/>
      <c r="T32" s="7">
        <f t="shared" si="5"/>
        <v>12754.23798744381</v>
      </c>
      <c r="U32" s="7">
        <f t="shared" si="6"/>
        <v>226103.96564381864</v>
      </c>
      <c r="V32" s="7">
        <f t="shared" si="7"/>
        <v>238858.20363126244</v>
      </c>
      <c r="W32" s="7"/>
      <c r="X32" s="7">
        <f t="shared" si="8"/>
        <v>280.59323572376383</v>
      </c>
      <c r="Y32" s="7">
        <f t="shared" si="9"/>
        <v>103.63098425341688</v>
      </c>
      <c r="Z32" s="8">
        <f t="shared" si="10"/>
        <v>384.22421997718072</v>
      </c>
    </row>
    <row r="33" spans="8:26" x14ac:dyDescent="0.2">
      <c r="H33" s="6">
        <f t="shared" si="11"/>
        <v>30</v>
      </c>
      <c r="I33" s="54"/>
      <c r="J33" s="60">
        <f t="shared" si="0"/>
        <v>0.04</v>
      </c>
      <c r="K33" s="60">
        <f t="shared" si="1"/>
        <v>40</v>
      </c>
      <c r="L33" s="60">
        <f t="shared" si="2"/>
        <v>1200</v>
      </c>
      <c r="M33" s="60">
        <f t="shared" si="3"/>
        <v>0.88</v>
      </c>
      <c r="N33" s="60">
        <f t="shared" si="4"/>
        <v>0.55000000000000004</v>
      </c>
      <c r="O33" s="7"/>
      <c r="P33" s="7">
        <f t="shared" si="12"/>
        <v>306.1017116986514</v>
      </c>
      <c r="Q33" s="7">
        <f t="shared" si="13"/>
        <v>182.91205215084381</v>
      </c>
      <c r="R33" s="7">
        <f t="shared" si="14"/>
        <v>668.61932831409365</v>
      </c>
      <c r="S33" s="7"/>
      <c r="T33" s="7">
        <f t="shared" si="5"/>
        <v>12244.068467946056</v>
      </c>
      <c r="U33" s="7">
        <f t="shared" si="6"/>
        <v>219494.46258101257</v>
      </c>
      <c r="V33" s="7">
        <f t="shared" si="7"/>
        <v>231738.53104895863</v>
      </c>
      <c r="W33" s="7"/>
      <c r="X33" s="7">
        <f t="shared" si="8"/>
        <v>269.36950629481322</v>
      </c>
      <c r="Y33" s="7">
        <f t="shared" si="9"/>
        <v>100.6016286829641</v>
      </c>
      <c r="Z33" s="8">
        <f t="shared" si="10"/>
        <v>369.9711349777773</v>
      </c>
    </row>
    <row r="34" spans="8:26" x14ac:dyDescent="0.2">
      <c r="H34" s="6">
        <f t="shared" si="11"/>
        <v>31</v>
      </c>
      <c r="I34" s="54"/>
      <c r="J34" s="60">
        <f t="shared" si="0"/>
        <v>0.08</v>
      </c>
      <c r="K34" s="60">
        <f t="shared" si="1"/>
        <v>80</v>
      </c>
      <c r="L34" s="60">
        <f t="shared" si="2"/>
        <v>1000</v>
      </c>
      <c r="M34" s="60">
        <f t="shared" si="3"/>
        <v>0.85</v>
      </c>
      <c r="N34" s="60">
        <f t="shared" si="4"/>
        <v>0.5</v>
      </c>
      <c r="O34" s="7"/>
      <c r="P34" s="7">
        <f t="shared" si="12"/>
        <v>293.85764323070532</v>
      </c>
      <c r="Q34" s="7">
        <f t="shared" si="13"/>
        <v>177.46213932973583</v>
      </c>
      <c r="R34" s="7">
        <f t="shared" si="14"/>
        <v>695.49636095410722</v>
      </c>
      <c r="S34" s="7"/>
      <c r="T34" s="7">
        <f t="shared" si="5"/>
        <v>23508.611458456427</v>
      </c>
      <c r="U34" s="7">
        <f t="shared" si="6"/>
        <v>177462.13932973583</v>
      </c>
      <c r="V34" s="7">
        <f t="shared" si="7"/>
        <v>200970.75078819226</v>
      </c>
      <c r="W34" s="7"/>
      <c r="X34" s="7">
        <f t="shared" si="8"/>
        <v>249.77899674609952</v>
      </c>
      <c r="Y34" s="7">
        <f t="shared" si="9"/>
        <v>88.731069664867917</v>
      </c>
      <c r="Z34" s="8">
        <f t="shared" si="10"/>
        <v>338.51006641096745</v>
      </c>
    </row>
    <row r="35" spans="8:26" x14ac:dyDescent="0.2">
      <c r="H35" s="6">
        <f t="shared" si="11"/>
        <v>32</v>
      </c>
      <c r="I35" s="54"/>
      <c r="J35" s="60">
        <f t="shared" si="0"/>
        <v>0.08</v>
      </c>
      <c r="K35" s="60">
        <f t="shared" si="1"/>
        <v>80</v>
      </c>
      <c r="L35" s="60">
        <f t="shared" si="2"/>
        <v>1000</v>
      </c>
      <c r="M35" s="60">
        <f t="shared" si="3"/>
        <v>0.85</v>
      </c>
      <c r="N35" s="60">
        <f t="shared" si="4"/>
        <v>0.5</v>
      </c>
      <c r="O35" s="7"/>
      <c r="P35" s="7">
        <f t="shared" si="12"/>
        <v>282.10333750147709</v>
      </c>
      <c r="Q35" s="7">
        <f t="shared" si="13"/>
        <v>164.98241190708868</v>
      </c>
      <c r="R35" s="7">
        <f t="shared" si="14"/>
        <v>740.30042913213197</v>
      </c>
      <c r="S35" s="7"/>
      <c r="T35" s="7">
        <f t="shared" si="5"/>
        <v>22568.267000118169</v>
      </c>
      <c r="U35" s="7">
        <f t="shared" si="6"/>
        <v>164982.41190708868</v>
      </c>
      <c r="V35" s="7">
        <f t="shared" si="7"/>
        <v>187550.67890720686</v>
      </c>
      <c r="W35" s="7"/>
      <c r="X35" s="7">
        <f t="shared" si="8"/>
        <v>239.78783687625551</v>
      </c>
      <c r="Y35" s="7">
        <f t="shared" si="9"/>
        <v>82.491205953544338</v>
      </c>
      <c r="Z35" s="8">
        <f t="shared" si="10"/>
        <v>322.27904282979983</v>
      </c>
    </row>
    <row r="36" spans="8:26" x14ac:dyDescent="0.2">
      <c r="H36" s="6">
        <f t="shared" si="11"/>
        <v>33</v>
      </c>
      <c r="I36" s="54"/>
      <c r="J36" s="60">
        <f t="shared" si="0"/>
        <v>0.08</v>
      </c>
      <c r="K36" s="60">
        <f t="shared" si="1"/>
        <v>80</v>
      </c>
      <c r="L36" s="60">
        <f t="shared" si="2"/>
        <v>1000</v>
      </c>
      <c r="M36" s="60">
        <f t="shared" si="3"/>
        <v>0.85</v>
      </c>
      <c r="N36" s="60">
        <f t="shared" si="4"/>
        <v>0.5</v>
      </c>
      <c r="O36" s="7"/>
      <c r="P36" s="7">
        <f t="shared" si="12"/>
        <v>270.81920400141797</v>
      </c>
      <c r="Q36" s="7">
        <f t="shared" si="13"/>
        <v>153.64762260328234</v>
      </c>
      <c r="R36" s="7">
        <f>P35*J35+Q35*(0.04+J35)+R35</f>
        <v>782.66658556110076</v>
      </c>
      <c r="S36" s="7"/>
      <c r="T36" s="7">
        <f t="shared" si="5"/>
        <v>21665.536320113439</v>
      </c>
      <c r="U36" s="7">
        <f t="shared" si="6"/>
        <v>153647.62260328233</v>
      </c>
      <c r="V36" s="7">
        <f t="shared" si="7"/>
        <v>175313.15892339576</v>
      </c>
      <c r="W36" s="7"/>
      <c r="X36" s="7">
        <f t="shared" si="8"/>
        <v>230.19632340120526</v>
      </c>
      <c r="Y36" s="7">
        <f t="shared" si="9"/>
        <v>76.823811301641172</v>
      </c>
      <c r="Z36" s="8">
        <f t="shared" si="10"/>
        <v>307.02013470284646</v>
      </c>
    </row>
    <row r="37" spans="8:26" x14ac:dyDescent="0.2">
      <c r="H37" s="6">
        <f t="shared" si="11"/>
        <v>34</v>
      </c>
      <c r="I37" s="54"/>
      <c r="J37" s="60">
        <f t="shared" si="0"/>
        <v>0.08</v>
      </c>
      <c r="K37" s="60">
        <f t="shared" si="1"/>
        <v>80</v>
      </c>
      <c r="L37" s="60">
        <f t="shared" si="2"/>
        <v>1000</v>
      </c>
      <c r="M37" s="60">
        <f t="shared" si="3"/>
        <v>0.85</v>
      </c>
      <c r="N37" s="60">
        <f t="shared" si="4"/>
        <v>0.5</v>
      </c>
      <c r="O37" s="7"/>
      <c r="P37" s="7">
        <f t="shared" si="12"/>
        <v>259.98643584136124</v>
      </c>
      <c r="Q37" s="7">
        <f t="shared" si="13"/>
        <v>143.33448401093102</v>
      </c>
      <c r="R37" s="7">
        <f t="shared" si="14"/>
        <v>822.76983659360803</v>
      </c>
      <c r="S37" s="7"/>
      <c r="T37" s="7">
        <f t="shared" si="5"/>
        <v>20798.9148673089</v>
      </c>
      <c r="U37" s="7">
        <f t="shared" si="6"/>
        <v>143334.48401093102</v>
      </c>
      <c r="V37" s="7">
        <f t="shared" si="7"/>
        <v>164133.39887823991</v>
      </c>
      <c r="W37" s="7"/>
      <c r="X37" s="7">
        <f t="shared" si="8"/>
        <v>220.98847046515704</v>
      </c>
      <c r="Y37" s="7">
        <f t="shared" si="9"/>
        <v>71.667242005465511</v>
      </c>
      <c r="Z37" s="8">
        <f t="shared" si="10"/>
        <v>292.65571247062257</v>
      </c>
    </row>
    <row r="38" spans="8:26" x14ac:dyDescent="0.2">
      <c r="H38" s="6">
        <f t="shared" si="11"/>
        <v>35</v>
      </c>
      <c r="I38" s="54"/>
      <c r="J38" s="60">
        <f t="shared" si="0"/>
        <v>0.08</v>
      </c>
      <c r="K38" s="60">
        <f t="shared" si="1"/>
        <v>80</v>
      </c>
      <c r="L38" s="60">
        <f t="shared" si="2"/>
        <v>1000</v>
      </c>
      <c r="M38" s="60">
        <f t="shared" si="3"/>
        <v>0.85</v>
      </c>
      <c r="N38" s="60">
        <f t="shared" si="4"/>
        <v>0.5</v>
      </c>
      <c r="O38" s="7"/>
      <c r="P38" s="7">
        <f t="shared" si="12"/>
        <v>249.58697840770679</v>
      </c>
      <c r="Q38" s="7">
        <f t="shared" si="13"/>
        <v>133.93393900486015</v>
      </c>
      <c r="R38" s="7">
        <f t="shared" si="14"/>
        <v>860.76888954222864</v>
      </c>
      <c r="S38" s="7"/>
      <c r="T38" s="7">
        <f t="shared" si="5"/>
        <v>19966.958272616543</v>
      </c>
      <c r="U38" s="7">
        <f t="shared" si="6"/>
        <v>133933.93900486015</v>
      </c>
      <c r="V38" s="7">
        <f t="shared" si="7"/>
        <v>153900.8972774767</v>
      </c>
      <c r="W38" s="7"/>
      <c r="X38" s="7">
        <f t="shared" si="8"/>
        <v>212.14893164655078</v>
      </c>
      <c r="Y38" s="7">
        <f t="shared" si="9"/>
        <v>66.966969502430075</v>
      </c>
      <c r="Z38" s="8">
        <f t="shared" si="10"/>
        <v>279.11590114898087</v>
      </c>
    </row>
    <row r="39" spans="8:26" x14ac:dyDescent="0.2">
      <c r="H39" s="6">
        <f t="shared" si="11"/>
        <v>36</v>
      </c>
      <c r="I39" s="54"/>
      <c r="J39" s="60">
        <f>VLOOKUP($H39,$A$11:$F$15,2,TRUE)</f>
        <v>0.08</v>
      </c>
      <c r="K39" s="60">
        <f t="shared" si="1"/>
        <v>80</v>
      </c>
      <c r="L39" s="60">
        <f t="shared" si="2"/>
        <v>1000</v>
      </c>
      <c r="M39" s="60">
        <f t="shared" si="3"/>
        <v>0.85</v>
      </c>
      <c r="N39" s="60">
        <f t="shared" si="4"/>
        <v>0.5</v>
      </c>
      <c r="O39" s="7"/>
      <c r="P39" s="7">
        <f t="shared" si="12"/>
        <v>239.6034992713985</v>
      </c>
      <c r="Q39" s="7">
        <f t="shared" si="13"/>
        <v>125.34947567650813</v>
      </c>
      <c r="R39" s="7">
        <f t="shared" si="14"/>
        <v>896.80792049542845</v>
      </c>
      <c r="S39" s="7"/>
      <c r="T39" s="7">
        <f t="shared" si="5"/>
        <v>19168.27994171188</v>
      </c>
      <c r="U39" s="7">
        <f t="shared" si="6"/>
        <v>125349.47567650814</v>
      </c>
      <c r="V39" s="7">
        <f t="shared" si="7"/>
        <v>144517.75561822002</v>
      </c>
      <c r="W39" s="7"/>
      <c r="X39" s="7">
        <f t="shared" si="8"/>
        <v>203.66297438068872</v>
      </c>
      <c r="Y39" s="7">
        <f t="shared" si="9"/>
        <v>62.674737838254067</v>
      </c>
      <c r="Z39" s="8">
        <f t="shared" si="10"/>
        <v>266.33771221894278</v>
      </c>
    </row>
    <row r="40" spans="8:26" x14ac:dyDescent="0.2">
      <c r="H40" s="6">
        <f t="shared" si="11"/>
        <v>37</v>
      </c>
      <c r="I40" s="54"/>
      <c r="J40" s="60">
        <f t="shared" si="0"/>
        <v>0.08</v>
      </c>
      <c r="K40" s="60">
        <f t="shared" si="1"/>
        <v>80</v>
      </c>
      <c r="L40" s="60">
        <f t="shared" si="2"/>
        <v>1000</v>
      </c>
      <c r="M40" s="60">
        <f t="shared" si="3"/>
        <v>0.85</v>
      </c>
      <c r="N40" s="60">
        <f t="shared" si="4"/>
        <v>0.5</v>
      </c>
      <c r="O40" s="7"/>
      <c r="P40" s="7">
        <f t="shared" si="12"/>
        <v>230.01935930054256</v>
      </c>
      <c r="Q40" s="7">
        <f t="shared" si="13"/>
        <v>117.49564357346911</v>
      </c>
      <c r="R40" s="7">
        <f t="shared" si="14"/>
        <v>931.01813751832128</v>
      </c>
      <c r="S40" s="7"/>
      <c r="T40" s="7">
        <f t="shared" si="5"/>
        <v>18401.548744043404</v>
      </c>
      <c r="U40" s="7">
        <f t="shared" si="6"/>
        <v>117495.6435734691</v>
      </c>
      <c r="V40" s="7">
        <f t="shared" si="7"/>
        <v>135897.1923175125</v>
      </c>
      <c r="W40" s="7"/>
      <c r="X40" s="7">
        <f t="shared" si="8"/>
        <v>195.51645540546116</v>
      </c>
      <c r="Y40" s="7">
        <f t="shared" si="9"/>
        <v>58.747821786734555</v>
      </c>
      <c r="Z40" s="8">
        <f t="shared" si="10"/>
        <v>254.26427719219572</v>
      </c>
    </row>
    <row r="41" spans="8:26" x14ac:dyDescent="0.2">
      <c r="H41" s="6">
        <f t="shared" si="11"/>
        <v>38</v>
      </c>
      <c r="I41" s="54"/>
      <c r="J41" s="60">
        <f t="shared" si="0"/>
        <v>0.08</v>
      </c>
      <c r="K41" s="60">
        <f t="shared" si="1"/>
        <v>80</v>
      </c>
      <c r="L41" s="60">
        <f t="shared" si="2"/>
        <v>1000</v>
      </c>
      <c r="M41" s="60">
        <f t="shared" si="3"/>
        <v>0.85</v>
      </c>
      <c r="N41" s="60">
        <f t="shared" si="4"/>
        <v>0.5</v>
      </c>
      <c r="O41" s="7"/>
      <c r="P41" s="7">
        <f t="shared" si="12"/>
        <v>220.81858492852086</v>
      </c>
      <c r="Q41" s="7">
        <f t="shared" si="13"/>
        <v>110.29674712366909</v>
      </c>
      <c r="R41" s="7">
        <f t="shared" si="14"/>
        <v>963.51916349118096</v>
      </c>
      <c r="S41" s="7"/>
      <c r="T41" s="7">
        <f t="shared" si="5"/>
        <v>17665.486794281671</v>
      </c>
      <c r="U41" s="7">
        <f t="shared" si="6"/>
        <v>110296.74712366909</v>
      </c>
      <c r="V41" s="7">
        <f t="shared" si="7"/>
        <v>127962.23391795077</v>
      </c>
      <c r="W41" s="7"/>
      <c r="X41" s="7">
        <f t="shared" si="8"/>
        <v>187.69579718924274</v>
      </c>
      <c r="Y41" s="7">
        <f t="shared" si="9"/>
        <v>55.148373561834546</v>
      </c>
      <c r="Z41" s="8">
        <f t="shared" si="10"/>
        <v>242.84417075107729</v>
      </c>
    </row>
    <row r="42" spans="8:26" x14ac:dyDescent="0.2">
      <c r="H42" s="6">
        <f t="shared" si="11"/>
        <v>39</v>
      </c>
      <c r="I42" s="54"/>
      <c r="J42" s="60">
        <f t="shared" si="0"/>
        <v>0.08</v>
      </c>
      <c r="K42" s="60">
        <f t="shared" si="1"/>
        <v>80</v>
      </c>
      <c r="L42" s="60">
        <f t="shared" si="2"/>
        <v>1000</v>
      </c>
      <c r="M42" s="60">
        <f t="shared" si="3"/>
        <v>0.85</v>
      </c>
      <c r="N42" s="60">
        <f t="shared" si="4"/>
        <v>0.5</v>
      </c>
      <c r="O42" s="7"/>
      <c r="P42" s="7">
        <f t="shared" si="12"/>
        <v>211.98584153138003</v>
      </c>
      <c r="Q42" s="7">
        <f t="shared" si="13"/>
        <v>103.68569501668443</v>
      </c>
      <c r="R42" s="7">
        <f t="shared" si="14"/>
        <v>994.42025994030291</v>
      </c>
      <c r="S42" s="7"/>
      <c r="T42" s="7">
        <f t="shared" si="5"/>
        <v>16958.867322510403</v>
      </c>
      <c r="U42" s="7">
        <f t="shared" si="6"/>
        <v>103685.69501668443</v>
      </c>
      <c r="V42" s="7">
        <f t="shared" si="7"/>
        <v>120644.56233919483</v>
      </c>
      <c r="W42" s="7"/>
      <c r="X42" s="7">
        <f t="shared" si="8"/>
        <v>180.18796530167302</v>
      </c>
      <c r="Y42" s="7">
        <f t="shared" si="9"/>
        <v>51.842847508342217</v>
      </c>
      <c r="Z42" s="8">
        <f t="shared" si="10"/>
        <v>232.03081281001522</v>
      </c>
    </row>
    <row r="43" spans="8:26" ht="17" thickBot="1" x14ac:dyDescent="0.25">
      <c r="H43" s="9">
        <f t="shared" si="11"/>
        <v>40</v>
      </c>
      <c r="I43" s="55"/>
      <c r="J43" s="63">
        <f t="shared" si="0"/>
        <v>0.08</v>
      </c>
      <c r="K43" s="63">
        <f t="shared" si="1"/>
        <v>80</v>
      </c>
      <c r="L43" s="63">
        <f t="shared" si="2"/>
        <v>1000</v>
      </c>
      <c r="M43" s="63">
        <f t="shared" si="3"/>
        <v>0.85</v>
      </c>
      <c r="N43" s="63">
        <f t="shared" si="4"/>
        <v>0.5</v>
      </c>
      <c r="O43" s="10"/>
      <c r="P43" s="10">
        <f t="shared" si="12"/>
        <v>203.50640787012483</v>
      </c>
      <c r="Q43" s="10">
        <f t="shared" si="13"/>
        <v>97.602986860623702</v>
      </c>
      <c r="R43" s="10">
        <f t="shared" si="14"/>
        <v>1023.8214106648154</v>
      </c>
      <c r="S43" s="10"/>
      <c r="T43" s="10">
        <f t="shared" si="5"/>
        <v>16280.512629609986</v>
      </c>
      <c r="U43" s="10">
        <f t="shared" si="6"/>
        <v>97602.9868606237</v>
      </c>
      <c r="V43" s="10">
        <f t="shared" si="7"/>
        <v>113883.49949023369</v>
      </c>
      <c r="W43" s="10"/>
      <c r="X43" s="10">
        <f t="shared" si="8"/>
        <v>172.98044668960611</v>
      </c>
      <c r="Y43" s="10">
        <f t="shared" si="9"/>
        <v>48.801493430311851</v>
      </c>
      <c r="Z43" s="11">
        <f t="shared" si="10"/>
        <v>221.78194011991798</v>
      </c>
    </row>
    <row r="44" spans="8:26" ht="17" thickBot="1" x14ac:dyDescent="0.25">
      <c r="H44" s="3"/>
      <c r="I44" s="3"/>
      <c r="J44" s="3"/>
      <c r="K44" s="3"/>
      <c r="L44" s="3"/>
      <c r="M44" s="3"/>
      <c r="N44" s="3"/>
    </row>
    <row r="45" spans="8:26" ht="17" thickBot="1" x14ac:dyDescent="0.25">
      <c r="T45" s="67">
        <f>SUM(T1:T43)/$P$4</f>
        <v>568.18849132165565</v>
      </c>
      <c r="U45" s="68">
        <f>SUM(U1:U43)/$P$4</f>
        <v>6884.2807122516951</v>
      </c>
      <c r="V45" s="68">
        <f>SUM(V1:V43)/$P$4</f>
        <v>7452.4692035733524</v>
      </c>
      <c r="W45" s="71"/>
      <c r="X45" s="37">
        <f>SUM(X1:X43)/P4</f>
        <v>18.437449136153372</v>
      </c>
      <c r="Y45" s="37">
        <f>SUM(Y1:Y43)/P4</f>
        <v>3.8248659998710632</v>
      </c>
      <c r="Z45" s="38">
        <f>SUM(Z1:Z43)/P4</f>
        <v>22.26231513602443</v>
      </c>
    </row>
    <row r="46" spans="8:26" ht="17" thickBot="1" x14ac:dyDescent="0.25">
      <c r="V46" s="70" t="s">
        <v>14</v>
      </c>
      <c r="W46" s="69"/>
      <c r="Y46" s="69" t="s">
        <v>15</v>
      </c>
      <c r="Z46" s="69"/>
    </row>
  </sheetData>
  <hyperlinks>
    <hyperlink ref="C2" r:id="rId1" xr:uid="{6B5DD59D-68E7-0F49-8111-344DA7F5DF2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F1EF-CF9B-634E-BA13-D3E67360C412}">
  <sheetPr codeName="Sheet5"/>
  <dimension ref="A1:Z46"/>
  <sheetViews>
    <sheetView showGridLines="0" zoomScaleNormal="100" workbookViewId="0">
      <selection activeCell="V45" sqref="V45"/>
    </sheetView>
  </sheetViews>
  <sheetFormatPr baseColWidth="10" defaultRowHeight="16" x14ac:dyDescent="0.2"/>
  <cols>
    <col min="1" max="1" width="15" bestFit="1" customWidth="1"/>
    <col min="7" max="7" width="6" customWidth="1"/>
    <col min="13" max="13" width="6.83203125" customWidth="1"/>
    <col min="14" max="14" width="8" customWidth="1"/>
    <col min="15" max="15" width="6.33203125" customWidth="1"/>
    <col min="16" max="18" width="13.5" bestFit="1" customWidth="1"/>
    <col min="19" max="19" width="6" customWidth="1"/>
    <col min="20" max="20" width="13.1640625" customWidth="1"/>
    <col min="21" max="21" width="12.83203125" customWidth="1"/>
    <col min="22" max="22" width="12.6640625" customWidth="1"/>
    <col min="23" max="23" width="8.1640625" customWidth="1"/>
  </cols>
  <sheetData>
    <row r="1" spans="1:26" ht="17" thickBot="1" x14ac:dyDescent="0.25">
      <c r="A1" s="42" t="s">
        <v>30</v>
      </c>
      <c r="B1" s="42"/>
      <c r="C1" s="42"/>
      <c r="D1" s="41"/>
    </row>
    <row r="2" spans="1:26" ht="17" thickBot="1" x14ac:dyDescent="0.25">
      <c r="A2" s="42" t="s">
        <v>17</v>
      </c>
      <c r="B2" s="42" t="s">
        <v>29</v>
      </c>
      <c r="C2" s="64" t="s">
        <v>28</v>
      </c>
      <c r="D2" s="42"/>
      <c r="F2" s="65" t="s">
        <v>9</v>
      </c>
      <c r="G2" s="61"/>
      <c r="H2" s="61"/>
      <c r="I2" s="62" t="s">
        <v>10</v>
      </c>
      <c r="J2" s="61"/>
      <c r="K2" s="61"/>
      <c r="L2" s="61"/>
      <c r="M2" s="62"/>
      <c r="N2" s="62"/>
      <c r="O2" s="62"/>
      <c r="P2" s="61" t="s">
        <v>12</v>
      </c>
      <c r="Q2" s="62"/>
      <c r="R2" s="62"/>
      <c r="S2" s="34"/>
      <c r="T2" s="61" t="s">
        <v>8</v>
      </c>
      <c r="U2" s="62"/>
      <c r="V2" s="66"/>
      <c r="W2" s="48"/>
      <c r="X2" s="84"/>
      <c r="Y2" s="48"/>
      <c r="Z2" s="48"/>
    </row>
    <row r="3" spans="1:26" ht="17" thickBot="1" x14ac:dyDescent="0.25">
      <c r="A3" s="13" t="s">
        <v>0</v>
      </c>
      <c r="B3" s="1"/>
      <c r="C3" s="1"/>
      <c r="D3" s="1"/>
      <c r="F3" s="43"/>
      <c r="G3" s="44"/>
      <c r="H3" s="49" t="s">
        <v>11</v>
      </c>
      <c r="I3" s="49" t="s">
        <v>42</v>
      </c>
      <c r="J3" s="49" t="s">
        <v>43</v>
      </c>
      <c r="K3" s="49" t="s">
        <v>44</v>
      </c>
      <c r="L3" s="49" t="s">
        <v>4</v>
      </c>
      <c r="M3" s="49" t="s">
        <v>3</v>
      </c>
      <c r="N3" s="49" t="s">
        <v>45</v>
      </c>
      <c r="O3" s="44"/>
      <c r="P3" s="45" t="s">
        <v>11</v>
      </c>
      <c r="Q3" s="45" t="s">
        <v>4</v>
      </c>
      <c r="R3" s="45" t="s">
        <v>13</v>
      </c>
      <c r="S3" s="45"/>
      <c r="T3" s="45" t="s">
        <v>11</v>
      </c>
      <c r="U3" s="45" t="s">
        <v>4</v>
      </c>
      <c r="V3" s="46" t="s">
        <v>13</v>
      </c>
      <c r="W3" s="47"/>
      <c r="X3" s="47"/>
      <c r="Y3" s="47"/>
      <c r="Z3" s="47"/>
    </row>
    <row r="4" spans="1:26" ht="17" thickBot="1" x14ac:dyDescent="0.25">
      <c r="A4" s="36"/>
      <c r="B4" s="26" t="s">
        <v>1</v>
      </c>
      <c r="C4" s="24" t="s">
        <v>2</v>
      </c>
      <c r="D4" s="25" t="s">
        <v>3</v>
      </c>
      <c r="E4" s="47"/>
      <c r="F4" s="6">
        <v>1</v>
      </c>
      <c r="G4" s="54"/>
      <c r="H4" s="7">
        <v>1000</v>
      </c>
      <c r="I4" s="54">
        <v>0</v>
      </c>
      <c r="J4" s="54">
        <v>0</v>
      </c>
      <c r="K4" s="54">
        <v>0</v>
      </c>
      <c r="L4" s="54">
        <f>SUM(I4:K4)</f>
        <v>0</v>
      </c>
      <c r="M4" s="7">
        <v>0</v>
      </c>
      <c r="N4" s="7">
        <f>SUM(H4:K4)+SUM(M4)</f>
        <v>1000</v>
      </c>
      <c r="O4" s="7"/>
      <c r="P4" s="7">
        <f>H4*$B$11</f>
        <v>50000</v>
      </c>
      <c r="Q4" s="7">
        <f>L4*$B$12</f>
        <v>0</v>
      </c>
      <c r="R4" s="5">
        <f>SUM(P4:Q4)</f>
        <v>50000</v>
      </c>
      <c r="S4" s="7"/>
      <c r="T4" s="7">
        <f>H4*$C$11</f>
        <v>900</v>
      </c>
      <c r="U4" s="7">
        <f>L4*$C$12</f>
        <v>0</v>
      </c>
      <c r="V4" s="8">
        <f>SUM(T4:U4)</f>
        <v>900</v>
      </c>
    </row>
    <row r="5" spans="1:26" x14ac:dyDescent="0.2">
      <c r="A5" s="27" t="s">
        <v>1</v>
      </c>
      <c r="B5" s="14">
        <v>0.96</v>
      </c>
      <c r="C5" s="14">
        <v>0.03</v>
      </c>
      <c r="D5" s="15">
        <v>0.01</v>
      </c>
      <c r="E5" s="3"/>
      <c r="F5" s="6">
        <f>F4+1</f>
        <v>2</v>
      </c>
      <c r="G5" s="54"/>
      <c r="H5" s="7">
        <v>960</v>
      </c>
      <c r="I5" s="60">
        <f>H4*$C$5</f>
        <v>30</v>
      </c>
      <c r="J5" s="60">
        <f>(1-$B$16)*I4</f>
        <v>0</v>
      </c>
      <c r="K5" s="60">
        <f>(1-$B$17)*J4+(1-$B$18)*K4</f>
        <v>0</v>
      </c>
      <c r="L5" s="54">
        <f t="shared" ref="L5:L43" si="0">SUM(I5:K5)</f>
        <v>30</v>
      </c>
      <c r="M5" s="7">
        <f>H4*$D$5+I4*$B$16+J4*$B$17+K4*$B$18+M4</f>
        <v>10</v>
      </c>
      <c r="N5" s="7">
        <f t="shared" ref="N5:N43" si="1">SUM(H5:K5)+SUM(M5)</f>
        <v>1000</v>
      </c>
      <c r="O5" s="7"/>
      <c r="P5" s="7">
        <f t="shared" ref="P5:P42" si="2">H5*$B$11</f>
        <v>48000</v>
      </c>
      <c r="Q5" s="7">
        <f t="shared" ref="Q5:Q43" si="3">L5*$B$12</f>
        <v>30000</v>
      </c>
      <c r="R5" s="7">
        <f t="shared" ref="R5:R43" si="4">SUM(P5:Q5)</f>
        <v>78000</v>
      </c>
      <c r="S5" s="7"/>
      <c r="T5" s="7">
        <f t="shared" ref="T5:T43" si="5">H5*$C$11</f>
        <v>864</v>
      </c>
      <c r="U5" s="7">
        <f t="shared" ref="U5:U43" si="6">L5*$C$12</f>
        <v>18</v>
      </c>
      <c r="V5" s="8">
        <f t="shared" ref="V5:V43" si="7">SUM(T5:U5)</f>
        <v>882</v>
      </c>
    </row>
    <row r="6" spans="1:26" x14ac:dyDescent="0.2">
      <c r="A6" s="28" t="s">
        <v>4</v>
      </c>
      <c r="B6" s="14">
        <v>0</v>
      </c>
      <c r="C6" s="14" t="s">
        <v>32</v>
      </c>
      <c r="D6" s="15" t="s">
        <v>31</v>
      </c>
      <c r="E6" s="3"/>
      <c r="F6" s="6">
        <f t="shared" ref="F6:F43" si="8">F5+1</f>
        <v>3</v>
      </c>
      <c r="G6" s="54"/>
      <c r="H6" s="7">
        <v>921.59999999999991</v>
      </c>
      <c r="I6" s="60">
        <f t="shared" ref="I6:I43" si="9">H5*$C$5</f>
        <v>28.799999999999997</v>
      </c>
      <c r="J6" s="60">
        <f t="shared" ref="J6:J43" si="10">(1-$B$16)*I5</f>
        <v>27.6</v>
      </c>
      <c r="K6" s="60">
        <f t="shared" ref="K6:K43" si="11">(1-$B$17)*J5+(1-$B$18)*K5</f>
        <v>0</v>
      </c>
      <c r="L6" s="54">
        <f t="shared" si="0"/>
        <v>56.4</v>
      </c>
      <c r="M6" s="7">
        <f t="shared" ref="M6:M43" si="12">H5*$D$5+I5*$B$16+J5*$B$17+K5*$B$18+M5</f>
        <v>22</v>
      </c>
      <c r="N6" s="7">
        <f t="shared" si="1"/>
        <v>999.99999999999989</v>
      </c>
      <c r="O6" s="7"/>
      <c r="P6" s="7">
        <f t="shared" si="2"/>
        <v>46079.999999999993</v>
      </c>
      <c r="Q6" s="7">
        <f t="shared" si="3"/>
        <v>56400</v>
      </c>
      <c r="R6" s="7">
        <f t="shared" si="4"/>
        <v>102480</v>
      </c>
      <c r="S6" s="7"/>
      <c r="T6" s="7">
        <f t="shared" si="5"/>
        <v>829.43999999999994</v>
      </c>
      <c r="U6" s="7">
        <f t="shared" si="6"/>
        <v>33.839999999999996</v>
      </c>
      <c r="V6" s="8">
        <f t="shared" si="7"/>
        <v>863.28</v>
      </c>
    </row>
    <row r="7" spans="1:26" ht="17" thickBot="1" x14ac:dyDescent="0.25">
      <c r="A7" s="29" t="s">
        <v>3</v>
      </c>
      <c r="B7" s="16">
        <v>0</v>
      </c>
      <c r="C7" s="16">
        <v>0</v>
      </c>
      <c r="D7" s="17">
        <v>1</v>
      </c>
      <c r="E7" s="3"/>
      <c r="F7" s="6">
        <f t="shared" si="8"/>
        <v>4</v>
      </c>
      <c r="G7" s="54"/>
      <c r="H7" s="7">
        <v>884.73599999999988</v>
      </c>
      <c r="I7" s="60">
        <f t="shared" si="9"/>
        <v>27.647999999999996</v>
      </c>
      <c r="J7" s="60">
        <f t="shared" si="10"/>
        <v>26.495999999999999</v>
      </c>
      <c r="K7" s="60">
        <f t="shared" si="11"/>
        <v>25.943999999999999</v>
      </c>
      <c r="L7" s="54">
        <f t="shared" si="0"/>
        <v>80.087999999999994</v>
      </c>
      <c r="M7" s="7">
        <f t="shared" si="12"/>
        <v>35.176000000000002</v>
      </c>
      <c r="N7" s="7">
        <f t="shared" si="1"/>
        <v>999.99999999999989</v>
      </c>
      <c r="O7" s="7"/>
      <c r="P7" s="7">
        <f t="shared" si="2"/>
        <v>44236.799999999996</v>
      </c>
      <c r="Q7" s="7">
        <f t="shared" si="3"/>
        <v>80088</v>
      </c>
      <c r="R7" s="7">
        <f t="shared" si="4"/>
        <v>124324.79999999999</v>
      </c>
      <c r="S7" s="7"/>
      <c r="T7" s="7">
        <f t="shared" si="5"/>
        <v>796.26239999999996</v>
      </c>
      <c r="U7" s="7">
        <f t="shared" si="6"/>
        <v>48.052799999999998</v>
      </c>
      <c r="V7" s="8">
        <f t="shared" si="7"/>
        <v>844.3152</v>
      </c>
    </row>
    <row r="8" spans="1:26" ht="17" thickBot="1" x14ac:dyDescent="0.25">
      <c r="F8" s="6">
        <f t="shared" si="8"/>
        <v>5</v>
      </c>
      <c r="G8" s="54"/>
      <c r="H8" s="7">
        <v>849.34655999999984</v>
      </c>
      <c r="I8" s="60">
        <f t="shared" si="9"/>
        <v>26.542079999999995</v>
      </c>
      <c r="J8" s="60">
        <f t="shared" si="10"/>
        <v>25.436159999999997</v>
      </c>
      <c r="K8" s="60">
        <f t="shared" si="11"/>
        <v>49.812479999999994</v>
      </c>
      <c r="L8" s="54">
        <f t="shared" si="0"/>
        <v>101.79071999999999</v>
      </c>
      <c r="M8" s="7">
        <f t="shared" si="12"/>
        <v>48.862719999999996</v>
      </c>
      <c r="N8" s="7">
        <f t="shared" si="1"/>
        <v>999.99999999999966</v>
      </c>
      <c r="O8" s="7"/>
      <c r="P8" s="7">
        <f t="shared" si="2"/>
        <v>42467.327999999994</v>
      </c>
      <c r="Q8" s="7">
        <f t="shared" si="3"/>
        <v>101790.71999999999</v>
      </c>
      <c r="R8" s="7">
        <f t="shared" si="4"/>
        <v>144258.04799999998</v>
      </c>
      <c r="S8" s="7"/>
      <c r="T8" s="7">
        <f t="shared" si="5"/>
        <v>764.41190399999982</v>
      </c>
      <c r="U8" s="7">
        <f t="shared" si="6"/>
        <v>61.074431999999995</v>
      </c>
      <c r="V8" s="8">
        <f t="shared" si="7"/>
        <v>825.48633599999982</v>
      </c>
    </row>
    <row r="9" spans="1:26" ht="17" thickBot="1" x14ac:dyDescent="0.25">
      <c r="A9" s="73" t="s">
        <v>33</v>
      </c>
      <c r="B9" s="34"/>
      <c r="C9" s="35"/>
      <c r="F9" s="6">
        <f t="shared" si="8"/>
        <v>6</v>
      </c>
      <c r="G9" s="54"/>
      <c r="H9" s="7">
        <v>815.37269759999981</v>
      </c>
      <c r="I9" s="60">
        <f t="shared" si="9"/>
        <v>25.480396799999994</v>
      </c>
      <c r="J9" s="60">
        <f t="shared" si="10"/>
        <v>24.418713599999997</v>
      </c>
      <c r="K9" s="60">
        <f t="shared" si="11"/>
        <v>71.72997119999998</v>
      </c>
      <c r="L9" s="54">
        <f t="shared" si="0"/>
        <v>121.62908159999998</v>
      </c>
      <c r="M9" s="7">
        <f t="shared" si="12"/>
        <v>62.998220799999991</v>
      </c>
      <c r="N9" s="7">
        <f t="shared" si="1"/>
        <v>999.99999999999989</v>
      </c>
      <c r="O9" s="7"/>
      <c r="P9" s="7">
        <f t="shared" si="2"/>
        <v>40768.634879999991</v>
      </c>
      <c r="Q9" s="7">
        <f t="shared" si="3"/>
        <v>121629.08159999998</v>
      </c>
      <c r="R9" s="7">
        <f t="shared" si="4"/>
        <v>162397.71647999997</v>
      </c>
      <c r="S9" s="7"/>
      <c r="T9" s="7">
        <f t="shared" si="5"/>
        <v>733.83542783999985</v>
      </c>
      <c r="U9" s="7">
        <f t="shared" si="6"/>
        <v>72.97744895999999</v>
      </c>
      <c r="V9" s="8">
        <f t="shared" si="7"/>
        <v>806.8128767999998</v>
      </c>
    </row>
    <row r="10" spans="1:26" ht="17" thickBot="1" x14ac:dyDescent="0.25">
      <c r="A10" s="36" t="s">
        <v>34</v>
      </c>
      <c r="B10" s="26" t="s">
        <v>35</v>
      </c>
      <c r="C10" s="25" t="s">
        <v>36</v>
      </c>
      <c r="D10" s="47"/>
      <c r="E10" s="48"/>
      <c r="F10" s="6">
        <f t="shared" si="8"/>
        <v>7</v>
      </c>
      <c r="G10" s="54"/>
      <c r="H10" s="7">
        <v>782.7577896959998</v>
      </c>
      <c r="I10" s="60">
        <f t="shared" si="9"/>
        <v>24.461180927999994</v>
      </c>
      <c r="J10" s="60">
        <f t="shared" si="10"/>
        <v>23.441965055999997</v>
      </c>
      <c r="K10" s="60">
        <f t="shared" si="11"/>
        <v>91.814363135999983</v>
      </c>
      <c r="L10" s="54">
        <f t="shared" si="0"/>
        <v>139.71750911999999</v>
      </c>
      <c r="M10" s="7">
        <f t="shared" si="12"/>
        <v>77.524701183999994</v>
      </c>
      <c r="N10" s="7">
        <f t="shared" si="1"/>
        <v>999.99999999999977</v>
      </c>
      <c r="O10" s="7"/>
      <c r="P10" s="7">
        <f t="shared" si="2"/>
        <v>39137.889484799991</v>
      </c>
      <c r="Q10" s="7">
        <f t="shared" si="3"/>
        <v>139717.50912</v>
      </c>
      <c r="R10" s="7">
        <f t="shared" si="4"/>
        <v>178855.39860479999</v>
      </c>
      <c r="S10" s="7"/>
      <c r="T10" s="7">
        <f t="shared" si="5"/>
        <v>704.48201072639984</v>
      </c>
      <c r="U10" s="7">
        <f t="shared" si="6"/>
        <v>83.830505471999984</v>
      </c>
      <c r="V10" s="8">
        <f t="shared" si="7"/>
        <v>788.31251619839986</v>
      </c>
    </row>
    <row r="11" spans="1:26" x14ac:dyDescent="0.2">
      <c r="A11" s="27" t="s">
        <v>1</v>
      </c>
      <c r="B11" s="14">
        <v>50</v>
      </c>
      <c r="C11" s="15">
        <v>0.9</v>
      </c>
      <c r="D11" s="3"/>
      <c r="E11" s="72"/>
      <c r="F11" s="6">
        <f t="shared" si="8"/>
        <v>8</v>
      </c>
      <c r="G11" s="54"/>
      <c r="H11" s="7">
        <v>751.44747810815977</v>
      </c>
      <c r="I11" s="60">
        <f t="shared" si="9"/>
        <v>23.482733690879993</v>
      </c>
      <c r="J11" s="60">
        <f t="shared" si="10"/>
        <v>22.504286453759995</v>
      </c>
      <c r="K11" s="60">
        <f t="shared" si="11"/>
        <v>110.17723576319997</v>
      </c>
      <c r="L11" s="54">
        <f t="shared" si="0"/>
        <v>156.16425590783996</v>
      </c>
      <c r="M11" s="7">
        <f t="shared" si="12"/>
        <v>92.388265983999986</v>
      </c>
      <c r="N11" s="7">
        <f t="shared" si="1"/>
        <v>999.99999999999966</v>
      </c>
      <c r="O11" s="7"/>
      <c r="P11" s="7">
        <f t="shared" si="2"/>
        <v>37572.373905407985</v>
      </c>
      <c r="Q11" s="7">
        <f t="shared" si="3"/>
        <v>156164.25590783995</v>
      </c>
      <c r="R11" s="7">
        <f t="shared" si="4"/>
        <v>193736.62981324794</v>
      </c>
      <c r="S11" s="7"/>
      <c r="T11" s="7">
        <f t="shared" si="5"/>
        <v>676.30273029734383</v>
      </c>
      <c r="U11" s="7">
        <f t="shared" si="6"/>
        <v>93.698553544703969</v>
      </c>
      <c r="V11" s="8">
        <f t="shared" si="7"/>
        <v>770.00128384204777</v>
      </c>
    </row>
    <row r="12" spans="1:26" ht="17" thickBot="1" x14ac:dyDescent="0.25">
      <c r="A12" s="29" t="s">
        <v>4</v>
      </c>
      <c r="B12" s="16">
        <v>1000</v>
      </c>
      <c r="C12" s="17">
        <v>0.6</v>
      </c>
      <c r="D12" s="3"/>
      <c r="E12" s="72"/>
      <c r="F12" s="6">
        <f t="shared" si="8"/>
        <v>9</v>
      </c>
      <c r="G12" s="54"/>
      <c r="H12" s="7">
        <v>721.3895789838333</v>
      </c>
      <c r="I12" s="60">
        <f t="shared" si="9"/>
        <v>22.543424343244791</v>
      </c>
      <c r="J12" s="60">
        <f t="shared" si="10"/>
        <v>21.604114995609596</v>
      </c>
      <c r="K12" s="60">
        <f t="shared" si="11"/>
        <v>126.92417559920636</v>
      </c>
      <c r="L12" s="54">
        <f t="shared" si="0"/>
        <v>171.07171493806075</v>
      </c>
      <c r="M12" s="7">
        <f t="shared" si="12"/>
        <v>107.53870607810558</v>
      </c>
      <c r="N12" s="7">
        <f t="shared" si="1"/>
        <v>999.99999999999955</v>
      </c>
      <c r="O12" s="7"/>
      <c r="P12" s="7">
        <f t="shared" si="2"/>
        <v>36069.478949191667</v>
      </c>
      <c r="Q12" s="7">
        <f t="shared" si="3"/>
        <v>171071.71493806076</v>
      </c>
      <c r="R12" s="7">
        <f t="shared" si="4"/>
        <v>207141.19388725242</v>
      </c>
      <c r="S12" s="7"/>
      <c r="T12" s="7">
        <f t="shared" si="5"/>
        <v>649.25062108545001</v>
      </c>
      <c r="U12" s="7">
        <f t="shared" si="6"/>
        <v>102.64302896283645</v>
      </c>
      <c r="V12" s="8">
        <f t="shared" si="7"/>
        <v>751.89365004828642</v>
      </c>
    </row>
    <row r="13" spans="1:26" ht="17" thickBot="1" x14ac:dyDescent="0.25">
      <c r="A13" s="47" t="s">
        <v>3</v>
      </c>
      <c r="B13" s="3"/>
      <c r="C13" s="3"/>
      <c r="D13" s="3"/>
      <c r="E13" s="72"/>
      <c r="F13" s="6">
        <f t="shared" si="8"/>
        <v>10</v>
      </c>
      <c r="G13" s="54"/>
      <c r="H13" s="7">
        <v>692.53399582447992</v>
      </c>
      <c r="I13" s="60">
        <f t="shared" si="9"/>
        <v>21.641687369514997</v>
      </c>
      <c r="J13" s="60">
        <f t="shared" si="10"/>
        <v>20.739950395785208</v>
      </c>
      <c r="K13" s="60">
        <f t="shared" si="11"/>
        <v>142.15507667111112</v>
      </c>
      <c r="L13" s="54">
        <f t="shared" si="0"/>
        <v>184.53671443641133</v>
      </c>
      <c r="M13" s="7">
        <f t="shared" si="12"/>
        <v>122.92928973910833</v>
      </c>
      <c r="N13" s="7">
        <f t="shared" si="1"/>
        <v>999.99999999999955</v>
      </c>
      <c r="O13" s="7"/>
      <c r="P13" s="7">
        <f t="shared" si="2"/>
        <v>34626.699791223997</v>
      </c>
      <c r="Q13" s="7">
        <f t="shared" si="3"/>
        <v>184536.71443641133</v>
      </c>
      <c r="R13" s="7">
        <f t="shared" si="4"/>
        <v>219163.41422763534</v>
      </c>
      <c r="S13" s="7"/>
      <c r="T13" s="7">
        <f t="shared" si="5"/>
        <v>623.28059624203195</v>
      </c>
      <c r="U13" s="7">
        <f t="shared" si="6"/>
        <v>110.72202866184679</v>
      </c>
      <c r="V13" s="8">
        <f t="shared" si="7"/>
        <v>734.00262490387877</v>
      </c>
    </row>
    <row r="14" spans="1:26" x14ac:dyDescent="0.2">
      <c r="A14" s="77" t="s">
        <v>37</v>
      </c>
      <c r="B14" s="78"/>
      <c r="C14" s="74"/>
      <c r="D14" s="74"/>
      <c r="E14" s="72"/>
      <c r="F14" s="6">
        <f t="shared" si="8"/>
        <v>11</v>
      </c>
      <c r="G14" s="54"/>
      <c r="H14" s="7">
        <v>664.83263599150075</v>
      </c>
      <c r="I14" s="60">
        <f t="shared" si="9"/>
        <v>20.776019874734398</v>
      </c>
      <c r="J14" s="60">
        <f t="shared" si="10"/>
        <v>19.9103523799538</v>
      </c>
      <c r="K14" s="60">
        <f t="shared" si="11"/>
        <v>155.96442697630476</v>
      </c>
      <c r="L14" s="54">
        <f t="shared" si="0"/>
        <v>196.65079923099296</v>
      </c>
      <c r="M14" s="7">
        <f t="shared" si="12"/>
        <v>138.51656477750589</v>
      </c>
      <c r="N14" s="7">
        <f t="shared" si="1"/>
        <v>999.99999999999955</v>
      </c>
      <c r="O14" s="7"/>
      <c r="P14" s="7">
        <f t="shared" si="2"/>
        <v>33241.631799575036</v>
      </c>
      <c r="Q14" s="7">
        <f t="shared" si="3"/>
        <v>196650.79923099297</v>
      </c>
      <c r="R14" s="7">
        <f t="shared" si="4"/>
        <v>229892.431030568</v>
      </c>
      <c r="S14" s="7"/>
      <c r="T14" s="7">
        <f t="shared" si="5"/>
        <v>598.34937239235069</v>
      </c>
      <c r="U14" s="7">
        <f t="shared" si="6"/>
        <v>117.99047953859576</v>
      </c>
      <c r="V14" s="8">
        <f t="shared" si="7"/>
        <v>716.33985193094645</v>
      </c>
    </row>
    <row r="15" spans="1:26" x14ac:dyDescent="0.2">
      <c r="A15" s="81" t="s">
        <v>38</v>
      </c>
      <c r="B15" s="82" t="s">
        <v>31</v>
      </c>
      <c r="C15" s="75"/>
      <c r="D15" s="75"/>
      <c r="E15" s="72"/>
      <c r="F15" s="6">
        <f t="shared" si="8"/>
        <v>12</v>
      </c>
      <c r="G15" s="54"/>
      <c r="H15" s="7">
        <v>638.23933055184068</v>
      </c>
      <c r="I15" s="60">
        <f t="shared" si="9"/>
        <v>19.944979079745021</v>
      </c>
      <c r="J15" s="60">
        <f t="shared" si="10"/>
        <v>19.113938284755648</v>
      </c>
      <c r="K15" s="60">
        <f t="shared" si="11"/>
        <v>168.44158113440915</v>
      </c>
      <c r="L15" s="54">
        <f t="shared" si="0"/>
        <v>207.50049849890982</v>
      </c>
      <c r="M15" s="7">
        <f t="shared" si="12"/>
        <v>154.26017094924907</v>
      </c>
      <c r="N15" s="7">
        <f t="shared" si="1"/>
        <v>999.99999999999955</v>
      </c>
      <c r="O15" s="7"/>
      <c r="P15" s="7">
        <f t="shared" si="2"/>
        <v>31911.966527592034</v>
      </c>
      <c r="Q15" s="7">
        <f t="shared" si="3"/>
        <v>207500.49849890982</v>
      </c>
      <c r="R15" s="7">
        <f t="shared" si="4"/>
        <v>239412.46502650186</v>
      </c>
      <c r="S15" s="7"/>
      <c r="T15" s="7">
        <f t="shared" si="5"/>
        <v>574.41539749665662</v>
      </c>
      <c r="U15" s="7">
        <f t="shared" si="6"/>
        <v>124.50029909934588</v>
      </c>
      <c r="V15" s="8">
        <f t="shared" si="7"/>
        <v>698.91569659600248</v>
      </c>
    </row>
    <row r="16" spans="1:26" x14ac:dyDescent="0.2">
      <c r="A16" s="81" t="s">
        <v>39</v>
      </c>
      <c r="B16" s="79">
        <v>0.08</v>
      </c>
      <c r="C16" s="76"/>
      <c r="D16" s="76"/>
      <c r="F16" s="6">
        <f t="shared" si="8"/>
        <v>13</v>
      </c>
      <c r="G16" s="54"/>
      <c r="H16" s="7">
        <v>612.70975732976706</v>
      </c>
      <c r="I16" s="60">
        <f t="shared" si="9"/>
        <v>19.147179916555221</v>
      </c>
      <c r="J16" s="60">
        <f t="shared" si="10"/>
        <v>18.34938075336542</v>
      </c>
      <c r="K16" s="60">
        <f t="shared" si="11"/>
        <v>179.67101987670307</v>
      </c>
      <c r="L16" s="54">
        <f t="shared" si="0"/>
        <v>217.1675805466237</v>
      </c>
      <c r="M16" s="7">
        <f t="shared" si="12"/>
        <v>170.12266212360879</v>
      </c>
      <c r="N16" s="7">
        <f t="shared" si="1"/>
        <v>999.99999999999955</v>
      </c>
      <c r="O16" s="7"/>
      <c r="P16" s="7">
        <f t="shared" si="2"/>
        <v>30635.487866488354</v>
      </c>
      <c r="Q16" s="7">
        <f t="shared" si="3"/>
        <v>217167.58054662371</v>
      </c>
      <c r="R16" s="7">
        <f t="shared" si="4"/>
        <v>247803.06841311205</v>
      </c>
      <c r="S16" s="7"/>
      <c r="T16" s="7">
        <f t="shared" si="5"/>
        <v>551.43878159679036</v>
      </c>
      <c r="U16" s="7">
        <f t="shared" si="6"/>
        <v>130.30054832797421</v>
      </c>
      <c r="V16" s="8">
        <f t="shared" si="7"/>
        <v>681.73932992476455</v>
      </c>
    </row>
    <row r="17" spans="1:22" x14ac:dyDescent="0.2">
      <c r="A17" s="81" t="s">
        <v>40</v>
      </c>
      <c r="B17" s="79">
        <v>0.06</v>
      </c>
      <c r="C17" s="76"/>
      <c r="D17" s="76"/>
      <c r="F17" s="6">
        <f t="shared" si="8"/>
        <v>14</v>
      </c>
      <c r="G17" s="54"/>
      <c r="H17" s="7">
        <v>588.20136703657636</v>
      </c>
      <c r="I17" s="60">
        <f t="shared" si="9"/>
        <v>18.381292719893011</v>
      </c>
      <c r="J17" s="60">
        <f t="shared" si="10"/>
        <v>17.615405523230805</v>
      </c>
      <c r="K17" s="60">
        <f t="shared" si="11"/>
        <v>189.73259698979845</v>
      </c>
      <c r="L17" s="54">
        <f t="shared" si="0"/>
        <v>225.72929523292225</v>
      </c>
      <c r="M17" s="7">
        <f t="shared" si="12"/>
        <v>186.06933773050093</v>
      </c>
      <c r="N17" s="7">
        <f t="shared" si="1"/>
        <v>999.99999999999966</v>
      </c>
      <c r="O17" s="7"/>
      <c r="P17" s="7">
        <f t="shared" si="2"/>
        <v>29410.068351828817</v>
      </c>
      <c r="Q17" s="7">
        <f t="shared" si="3"/>
        <v>225729.29523292225</v>
      </c>
      <c r="R17" s="7">
        <f t="shared" si="4"/>
        <v>255139.36358475106</v>
      </c>
      <c r="S17" s="7"/>
      <c r="T17" s="7">
        <f t="shared" si="5"/>
        <v>529.38123033291879</v>
      </c>
      <c r="U17" s="7">
        <f t="shared" si="6"/>
        <v>135.43757713975336</v>
      </c>
      <c r="V17" s="8">
        <f t="shared" si="7"/>
        <v>664.81880747267212</v>
      </c>
    </row>
    <row r="18" spans="1:22" ht="17" thickBot="1" x14ac:dyDescent="0.25">
      <c r="A18" s="83" t="s">
        <v>41</v>
      </c>
      <c r="B18" s="80">
        <v>0.04</v>
      </c>
      <c r="C18" s="76"/>
      <c r="D18" s="76"/>
      <c r="F18" s="6">
        <f t="shared" si="8"/>
        <v>15</v>
      </c>
      <c r="G18" s="54"/>
      <c r="H18" s="7">
        <v>564.67331235511324</v>
      </c>
      <c r="I18" s="60">
        <f t="shared" si="9"/>
        <v>17.646041011097289</v>
      </c>
      <c r="J18" s="60">
        <f t="shared" si="10"/>
        <v>16.91078930230157</v>
      </c>
      <c r="K18" s="60">
        <f t="shared" si="11"/>
        <v>198.70177430204348</v>
      </c>
      <c r="L18" s="54">
        <f t="shared" si="0"/>
        <v>233.25860461544232</v>
      </c>
      <c r="M18" s="7">
        <f t="shared" si="12"/>
        <v>202.06808302944393</v>
      </c>
      <c r="N18" s="7">
        <f t="shared" si="1"/>
        <v>999.99999999999955</v>
      </c>
      <c r="O18" s="7"/>
      <c r="P18" s="7">
        <f t="shared" si="2"/>
        <v>28233.665617755662</v>
      </c>
      <c r="Q18" s="7">
        <f t="shared" si="3"/>
        <v>233258.60461544231</v>
      </c>
      <c r="R18" s="7">
        <f t="shared" si="4"/>
        <v>261492.27023319798</v>
      </c>
      <c r="S18" s="7"/>
      <c r="T18" s="7">
        <f t="shared" si="5"/>
        <v>508.20598111960192</v>
      </c>
      <c r="U18" s="7">
        <f t="shared" si="6"/>
        <v>139.9551627692654</v>
      </c>
      <c r="V18" s="8">
        <f t="shared" si="7"/>
        <v>648.16114388886729</v>
      </c>
    </row>
    <row r="19" spans="1:22" x14ac:dyDescent="0.2">
      <c r="A19" s="47"/>
      <c r="B19" s="3"/>
      <c r="C19" s="3"/>
      <c r="D19" s="3"/>
      <c r="F19" s="6">
        <f t="shared" si="8"/>
        <v>16</v>
      </c>
      <c r="G19" s="54"/>
      <c r="H19" s="7">
        <v>542.08637986090866</v>
      </c>
      <c r="I19" s="60">
        <f t="shared" si="9"/>
        <v>16.940199370653396</v>
      </c>
      <c r="J19" s="60">
        <f t="shared" si="10"/>
        <v>16.234357730209506</v>
      </c>
      <c r="K19" s="60">
        <f t="shared" si="11"/>
        <v>206.6498452741252</v>
      </c>
      <c r="L19" s="54">
        <f t="shared" si="0"/>
        <v>239.8244023749881</v>
      </c>
      <c r="M19" s="7">
        <f t="shared" si="12"/>
        <v>218.08921776410267</v>
      </c>
      <c r="N19" s="7">
        <f t="shared" si="1"/>
        <v>999.99999999999932</v>
      </c>
      <c r="O19" s="7"/>
      <c r="P19" s="7">
        <f t="shared" si="2"/>
        <v>27104.318993045432</v>
      </c>
      <c r="Q19" s="7">
        <f t="shared" si="3"/>
        <v>239824.4023749881</v>
      </c>
      <c r="R19" s="7">
        <f t="shared" si="4"/>
        <v>266928.72136803356</v>
      </c>
      <c r="S19" s="7"/>
      <c r="T19" s="7">
        <f t="shared" si="5"/>
        <v>487.87774187481779</v>
      </c>
      <c r="U19" s="7">
        <f t="shared" si="6"/>
        <v>143.89464142499284</v>
      </c>
      <c r="V19" s="8">
        <f t="shared" si="7"/>
        <v>631.7723832998106</v>
      </c>
    </row>
    <row r="20" spans="1:22" x14ac:dyDescent="0.2">
      <c r="A20" s="75"/>
      <c r="B20" s="75"/>
      <c r="C20" s="74"/>
      <c r="D20" s="74"/>
      <c r="F20" s="6">
        <f t="shared" si="8"/>
        <v>17</v>
      </c>
      <c r="G20" s="54"/>
      <c r="H20" s="7">
        <v>520.40292466647225</v>
      </c>
      <c r="I20" s="60">
        <f t="shared" si="9"/>
        <v>16.262591395827258</v>
      </c>
      <c r="J20" s="60">
        <f t="shared" si="10"/>
        <v>15.584983421001125</v>
      </c>
      <c r="K20" s="60">
        <f t="shared" si="11"/>
        <v>213.64414772955712</v>
      </c>
      <c r="L20" s="54">
        <f t="shared" si="0"/>
        <v>245.49172254638552</v>
      </c>
      <c r="M20" s="7">
        <f t="shared" si="12"/>
        <v>234.10535278714161</v>
      </c>
      <c r="N20" s="7">
        <f t="shared" si="1"/>
        <v>999.99999999999932</v>
      </c>
      <c r="O20" s="7"/>
      <c r="P20" s="7">
        <f t="shared" si="2"/>
        <v>26020.146233323612</v>
      </c>
      <c r="Q20" s="7">
        <f t="shared" si="3"/>
        <v>245491.72254638551</v>
      </c>
      <c r="R20" s="7">
        <f t="shared" si="4"/>
        <v>271511.8687797091</v>
      </c>
      <c r="S20" s="7"/>
      <c r="T20" s="7">
        <f t="shared" si="5"/>
        <v>468.36263219982504</v>
      </c>
      <c r="U20" s="7">
        <f t="shared" si="6"/>
        <v>147.29503352783129</v>
      </c>
      <c r="V20" s="8">
        <f t="shared" si="7"/>
        <v>615.65766572765631</v>
      </c>
    </row>
    <row r="21" spans="1:22" x14ac:dyDescent="0.2">
      <c r="A21" s="47"/>
      <c r="B21" s="47"/>
      <c r="C21" s="75"/>
      <c r="D21" s="75"/>
      <c r="F21" s="6">
        <f t="shared" si="8"/>
        <v>18</v>
      </c>
      <c r="G21" s="54"/>
      <c r="H21" s="7">
        <v>499.58680767981332</v>
      </c>
      <c r="I21" s="60">
        <f t="shared" si="9"/>
        <v>15.612087739994166</v>
      </c>
      <c r="J21" s="60">
        <f t="shared" si="10"/>
        <v>14.961584084161078</v>
      </c>
      <c r="K21" s="60">
        <f t="shared" si="11"/>
        <v>219.74826623611591</v>
      </c>
      <c r="L21" s="54">
        <f t="shared" si="0"/>
        <v>250.32193806027115</v>
      </c>
      <c r="M21" s="7">
        <f t="shared" si="12"/>
        <v>250.09125425991488</v>
      </c>
      <c r="N21" s="7">
        <f t="shared" si="1"/>
        <v>999.99999999999943</v>
      </c>
      <c r="O21" s="7"/>
      <c r="P21" s="7">
        <f t="shared" si="2"/>
        <v>24979.340383990668</v>
      </c>
      <c r="Q21" s="7">
        <f t="shared" si="3"/>
        <v>250321.93806027115</v>
      </c>
      <c r="R21" s="7">
        <f t="shared" si="4"/>
        <v>275301.27844426181</v>
      </c>
      <c r="S21" s="7"/>
      <c r="T21" s="7">
        <f t="shared" si="5"/>
        <v>449.628126911832</v>
      </c>
      <c r="U21" s="7">
        <f t="shared" si="6"/>
        <v>150.19316283616268</v>
      </c>
      <c r="V21" s="8">
        <f t="shared" si="7"/>
        <v>599.82128974799468</v>
      </c>
    </row>
    <row r="22" spans="1:22" x14ac:dyDescent="0.2">
      <c r="A22" s="47"/>
      <c r="B22" s="76"/>
      <c r="C22" s="76"/>
      <c r="D22" s="76"/>
      <c r="F22" s="6">
        <f t="shared" si="8"/>
        <v>19</v>
      </c>
      <c r="G22" s="54"/>
      <c r="H22" s="7">
        <v>479.60333537262079</v>
      </c>
      <c r="I22" s="60">
        <f t="shared" si="9"/>
        <v>14.9876042303944</v>
      </c>
      <c r="J22" s="60">
        <f t="shared" si="10"/>
        <v>14.363120720794633</v>
      </c>
      <c r="K22" s="60">
        <f t="shared" si="11"/>
        <v>225.02222462578268</v>
      </c>
      <c r="L22" s="54">
        <f t="shared" si="0"/>
        <v>254.37294957697171</v>
      </c>
      <c r="M22" s="7">
        <f t="shared" si="12"/>
        <v>266.02371505040685</v>
      </c>
      <c r="N22" s="7">
        <f t="shared" si="1"/>
        <v>999.99999999999943</v>
      </c>
      <c r="O22" s="7"/>
      <c r="P22" s="7">
        <f t="shared" si="2"/>
        <v>23980.166768631039</v>
      </c>
      <c r="Q22" s="7">
        <f t="shared" si="3"/>
        <v>254372.9495769717</v>
      </c>
      <c r="R22" s="7">
        <f t="shared" si="4"/>
        <v>278353.11634560273</v>
      </c>
      <c r="S22" s="7"/>
      <c r="T22" s="7">
        <f t="shared" si="5"/>
        <v>431.64300183535875</v>
      </c>
      <c r="U22" s="7">
        <f t="shared" si="6"/>
        <v>152.62376974618303</v>
      </c>
      <c r="V22" s="8">
        <f t="shared" si="7"/>
        <v>584.26677158154178</v>
      </c>
    </row>
    <row r="23" spans="1:22" x14ac:dyDescent="0.2">
      <c r="A23" s="47"/>
      <c r="B23" s="76"/>
      <c r="C23" s="76"/>
      <c r="D23" s="76"/>
      <c r="F23" s="6">
        <f t="shared" si="8"/>
        <v>20</v>
      </c>
      <c r="G23" s="54"/>
      <c r="H23" s="7">
        <v>460.41920195771593</v>
      </c>
      <c r="I23" s="60">
        <f t="shared" si="9"/>
        <v>14.388100061178623</v>
      </c>
      <c r="J23" s="60">
        <f t="shared" si="10"/>
        <v>13.788595891962848</v>
      </c>
      <c r="K23" s="60">
        <f t="shared" si="11"/>
        <v>229.52266911829832</v>
      </c>
      <c r="L23" s="54">
        <f t="shared" si="0"/>
        <v>257.69936507143979</v>
      </c>
      <c r="M23" s="7">
        <f t="shared" si="12"/>
        <v>281.8814329708436</v>
      </c>
      <c r="N23" s="7">
        <f t="shared" si="1"/>
        <v>999.99999999999932</v>
      </c>
      <c r="O23" s="7"/>
      <c r="P23" s="7">
        <f t="shared" si="2"/>
        <v>23020.960097885796</v>
      </c>
      <c r="Q23" s="7">
        <f t="shared" si="3"/>
        <v>257699.3650714398</v>
      </c>
      <c r="R23" s="7">
        <f t="shared" si="4"/>
        <v>280720.32516932557</v>
      </c>
      <c r="S23" s="7"/>
      <c r="T23" s="7">
        <f t="shared" si="5"/>
        <v>414.37728176194435</v>
      </c>
      <c r="U23" s="7">
        <f t="shared" si="6"/>
        <v>154.61961904286386</v>
      </c>
      <c r="V23" s="8">
        <f t="shared" si="7"/>
        <v>568.99690080480821</v>
      </c>
    </row>
    <row r="24" spans="1:22" x14ac:dyDescent="0.2">
      <c r="A24" s="47"/>
      <c r="B24" s="76"/>
      <c r="C24" s="76"/>
      <c r="D24" s="76"/>
      <c r="F24" s="6">
        <f t="shared" si="8"/>
        <v>21</v>
      </c>
      <c r="G24" s="54"/>
      <c r="H24" s="7">
        <v>442.00243387940725</v>
      </c>
      <c r="I24" s="60">
        <f t="shared" si="9"/>
        <v>13.812576058731477</v>
      </c>
      <c r="J24" s="60">
        <f t="shared" si="10"/>
        <v>13.237052056284334</v>
      </c>
      <c r="K24" s="60">
        <f t="shared" si="11"/>
        <v>233.30304249201146</v>
      </c>
      <c r="L24" s="54">
        <f t="shared" si="0"/>
        <v>260.35267060702728</v>
      </c>
      <c r="M24" s="7">
        <f t="shared" si="12"/>
        <v>297.64489551356473</v>
      </c>
      <c r="N24" s="7">
        <f t="shared" si="1"/>
        <v>999.9999999999992</v>
      </c>
      <c r="O24" s="7"/>
      <c r="P24" s="7">
        <f t="shared" si="2"/>
        <v>22100.121693970363</v>
      </c>
      <c r="Q24" s="7">
        <f t="shared" si="3"/>
        <v>260352.67060702728</v>
      </c>
      <c r="R24" s="7">
        <f t="shared" si="4"/>
        <v>282452.79230099765</v>
      </c>
      <c r="S24" s="7"/>
      <c r="T24" s="7">
        <f t="shared" si="5"/>
        <v>397.80219049146655</v>
      </c>
      <c r="U24" s="7">
        <f t="shared" si="6"/>
        <v>156.21160236421636</v>
      </c>
      <c r="V24" s="8">
        <f t="shared" si="7"/>
        <v>554.01379285568294</v>
      </c>
    </row>
    <row r="25" spans="1:22" x14ac:dyDescent="0.2">
      <c r="A25" s="47"/>
      <c r="B25" s="3"/>
      <c r="C25" s="3"/>
      <c r="D25" s="3"/>
      <c r="F25" s="6">
        <f t="shared" si="8"/>
        <v>22</v>
      </c>
      <c r="G25" s="54"/>
      <c r="H25" s="7">
        <v>424.32233652423093</v>
      </c>
      <c r="I25" s="60">
        <f t="shared" si="9"/>
        <v>13.260073016382217</v>
      </c>
      <c r="J25" s="60">
        <f t="shared" si="10"/>
        <v>12.707569974032959</v>
      </c>
      <c r="K25" s="60">
        <f t="shared" si="11"/>
        <v>236.41374972523826</v>
      </c>
      <c r="L25" s="54">
        <f t="shared" si="0"/>
        <v>262.38139271565342</v>
      </c>
      <c r="M25" s="7">
        <f t="shared" si="12"/>
        <v>313.29627076011485</v>
      </c>
      <c r="N25" s="7">
        <f t="shared" si="1"/>
        <v>999.99999999999909</v>
      </c>
      <c r="O25" s="7"/>
      <c r="P25" s="7">
        <f t="shared" si="2"/>
        <v>21216.116826211546</v>
      </c>
      <c r="Q25" s="7">
        <f t="shared" si="3"/>
        <v>262381.3927156534</v>
      </c>
      <c r="R25" s="7">
        <f t="shared" si="4"/>
        <v>283597.50954186497</v>
      </c>
      <c r="S25" s="7"/>
      <c r="T25" s="7">
        <f t="shared" si="5"/>
        <v>381.89010287180787</v>
      </c>
      <c r="U25" s="7">
        <f t="shared" si="6"/>
        <v>157.42883562939204</v>
      </c>
      <c r="V25" s="8">
        <f t="shared" si="7"/>
        <v>539.31893850119991</v>
      </c>
    </row>
    <row r="26" spans="1:22" x14ac:dyDescent="0.2">
      <c r="A26" s="47"/>
      <c r="B26" s="3"/>
      <c r="C26" s="3"/>
      <c r="D26" s="3"/>
      <c r="F26" s="6">
        <f t="shared" si="8"/>
        <v>23</v>
      </c>
      <c r="G26" s="54"/>
      <c r="H26" s="7">
        <v>407.34944306326167</v>
      </c>
      <c r="I26" s="60">
        <f t="shared" si="9"/>
        <v>12.729670095726927</v>
      </c>
      <c r="J26" s="60">
        <f t="shared" si="10"/>
        <v>12.19926717507164</v>
      </c>
      <c r="K26" s="60">
        <f t="shared" si="11"/>
        <v>238.90231551181969</v>
      </c>
      <c r="L26" s="54">
        <f t="shared" si="0"/>
        <v>263.83125278261826</v>
      </c>
      <c r="M26" s="7">
        <f t="shared" si="12"/>
        <v>328.81930415411927</v>
      </c>
      <c r="N26" s="7">
        <f t="shared" si="1"/>
        <v>999.99999999999909</v>
      </c>
      <c r="O26" s="7"/>
      <c r="P26" s="7">
        <f t="shared" si="2"/>
        <v>20367.472153163082</v>
      </c>
      <c r="Q26" s="7">
        <f t="shared" si="3"/>
        <v>263831.25278261828</v>
      </c>
      <c r="R26" s="7">
        <f t="shared" si="4"/>
        <v>284198.72493578139</v>
      </c>
      <c r="S26" s="7"/>
      <c r="T26" s="7">
        <f t="shared" si="5"/>
        <v>366.61449875693552</v>
      </c>
      <c r="U26" s="7">
        <f t="shared" si="6"/>
        <v>158.29875166957095</v>
      </c>
      <c r="V26" s="8">
        <f t="shared" si="7"/>
        <v>524.91325042650647</v>
      </c>
    </row>
    <row r="27" spans="1:22" x14ac:dyDescent="0.2">
      <c r="A27" s="47"/>
      <c r="B27" s="3"/>
      <c r="C27" s="3"/>
      <c r="D27" s="3"/>
      <c r="F27" s="6">
        <f t="shared" si="8"/>
        <v>24</v>
      </c>
      <c r="G27" s="54"/>
      <c r="H27" s="7">
        <v>391.05546534073119</v>
      </c>
      <c r="I27" s="60">
        <f t="shared" si="9"/>
        <v>12.22048329189785</v>
      </c>
      <c r="J27" s="60">
        <f t="shared" si="10"/>
        <v>11.711296488068774</v>
      </c>
      <c r="K27" s="60">
        <f t="shared" si="11"/>
        <v>240.81353403591424</v>
      </c>
      <c r="L27" s="54">
        <f t="shared" si="0"/>
        <v>264.74531381588088</v>
      </c>
      <c r="M27" s="7">
        <f t="shared" si="12"/>
        <v>344.19922084338714</v>
      </c>
      <c r="N27" s="7">
        <f t="shared" si="1"/>
        <v>999.9999999999992</v>
      </c>
      <c r="O27" s="7"/>
      <c r="P27" s="7">
        <f t="shared" si="2"/>
        <v>19552.773267036559</v>
      </c>
      <c r="Q27" s="7">
        <f t="shared" si="3"/>
        <v>264745.31381588086</v>
      </c>
      <c r="R27" s="7">
        <f t="shared" si="4"/>
        <v>284298.08708291739</v>
      </c>
      <c r="S27" s="7"/>
      <c r="T27" s="7">
        <f t="shared" si="5"/>
        <v>351.9499188066581</v>
      </c>
      <c r="U27" s="7">
        <f t="shared" si="6"/>
        <v>158.84718828952853</v>
      </c>
      <c r="V27" s="8">
        <f t="shared" si="7"/>
        <v>510.79710709618666</v>
      </c>
    </row>
    <row r="28" spans="1:22" x14ac:dyDescent="0.2">
      <c r="A28" s="75"/>
      <c r="B28" s="75"/>
      <c r="C28" s="74"/>
      <c r="D28" s="74"/>
      <c r="F28" s="6">
        <f t="shared" si="8"/>
        <v>25</v>
      </c>
      <c r="G28" s="54"/>
      <c r="H28" s="7">
        <v>375.41324672710192</v>
      </c>
      <c r="I28" s="60">
        <f t="shared" si="9"/>
        <v>11.731663960221935</v>
      </c>
      <c r="J28" s="60">
        <f t="shared" si="10"/>
        <v>11.242844628546022</v>
      </c>
      <c r="K28" s="60">
        <f t="shared" si="11"/>
        <v>242.18961137326232</v>
      </c>
      <c r="L28" s="54">
        <f t="shared" si="0"/>
        <v>265.16411996203027</v>
      </c>
      <c r="M28" s="7">
        <f t="shared" si="12"/>
        <v>359.42263331086696</v>
      </c>
      <c r="N28" s="7">
        <f t="shared" si="1"/>
        <v>999.99999999999909</v>
      </c>
      <c r="O28" s="7"/>
      <c r="P28" s="7">
        <f t="shared" si="2"/>
        <v>18770.662336355097</v>
      </c>
      <c r="Q28" s="7">
        <f t="shared" si="3"/>
        <v>265164.11996203027</v>
      </c>
      <c r="R28" s="7">
        <f t="shared" si="4"/>
        <v>283934.78229838534</v>
      </c>
      <c r="S28" s="7"/>
      <c r="T28" s="7">
        <f t="shared" si="5"/>
        <v>337.87192205439175</v>
      </c>
      <c r="U28" s="7">
        <f t="shared" si="6"/>
        <v>159.09847197721817</v>
      </c>
      <c r="V28" s="8">
        <f t="shared" si="7"/>
        <v>496.97039403160989</v>
      </c>
    </row>
    <row r="29" spans="1:22" x14ac:dyDescent="0.2">
      <c r="A29" s="47"/>
      <c r="B29" s="47"/>
      <c r="C29" s="75"/>
      <c r="D29" s="75"/>
      <c r="F29" s="6">
        <f t="shared" si="8"/>
        <v>26</v>
      </c>
      <c r="G29" s="54"/>
      <c r="H29" s="7">
        <v>360.39671685801784</v>
      </c>
      <c r="I29" s="60">
        <f t="shared" si="9"/>
        <v>11.262397401813057</v>
      </c>
      <c r="J29" s="60">
        <f t="shared" si="10"/>
        <v>10.79313084340418</v>
      </c>
      <c r="K29" s="60">
        <f t="shared" si="11"/>
        <v>243.07030086916507</v>
      </c>
      <c r="L29" s="54">
        <f t="shared" si="0"/>
        <v>265.12582911438233</v>
      </c>
      <c r="M29" s="7">
        <f t="shared" si="12"/>
        <v>374.47745402759898</v>
      </c>
      <c r="N29" s="7">
        <f t="shared" si="1"/>
        <v>999.99999999999909</v>
      </c>
      <c r="O29" s="7"/>
      <c r="P29" s="7">
        <f t="shared" si="2"/>
        <v>18019.835842900891</v>
      </c>
      <c r="Q29" s="7">
        <f t="shared" si="3"/>
        <v>265125.82911438233</v>
      </c>
      <c r="R29" s="7">
        <f t="shared" si="4"/>
        <v>283145.66495728324</v>
      </c>
      <c r="S29" s="7"/>
      <c r="T29" s="7">
        <f t="shared" si="5"/>
        <v>324.35704517221609</v>
      </c>
      <c r="U29" s="7">
        <f t="shared" si="6"/>
        <v>159.07549746862938</v>
      </c>
      <c r="V29" s="8">
        <f t="shared" si="7"/>
        <v>483.43254264084544</v>
      </c>
    </row>
    <row r="30" spans="1:22" x14ac:dyDescent="0.2">
      <c r="A30" s="47"/>
      <c r="B30" s="76"/>
      <c r="C30" s="76"/>
      <c r="D30" s="76"/>
      <c r="F30" s="6">
        <f t="shared" si="8"/>
        <v>27</v>
      </c>
      <c r="G30" s="54"/>
      <c r="H30" s="7">
        <v>345.98084818369711</v>
      </c>
      <c r="I30" s="60">
        <f t="shared" si="9"/>
        <v>10.811901505740535</v>
      </c>
      <c r="J30" s="60">
        <f t="shared" si="10"/>
        <v>10.361405609668013</v>
      </c>
      <c r="K30" s="60">
        <f t="shared" si="11"/>
        <v>243.49303182719839</v>
      </c>
      <c r="L30" s="54">
        <f t="shared" si="0"/>
        <v>264.66633894260696</v>
      </c>
      <c r="M30" s="7">
        <f t="shared" si="12"/>
        <v>389.35281287369503</v>
      </c>
      <c r="N30" s="7">
        <f t="shared" si="1"/>
        <v>999.99999999999909</v>
      </c>
      <c r="O30" s="7"/>
      <c r="P30" s="7">
        <f t="shared" si="2"/>
        <v>17299.042409184854</v>
      </c>
      <c r="Q30" s="7">
        <f t="shared" si="3"/>
        <v>264666.33894260693</v>
      </c>
      <c r="R30" s="7">
        <f t="shared" si="4"/>
        <v>281965.38135179179</v>
      </c>
      <c r="S30" s="7"/>
      <c r="T30" s="7">
        <f t="shared" si="5"/>
        <v>311.38276336532738</v>
      </c>
      <c r="U30" s="7">
        <f t="shared" si="6"/>
        <v>158.79980336556417</v>
      </c>
      <c r="V30" s="8">
        <f t="shared" si="7"/>
        <v>470.18256673089155</v>
      </c>
    </row>
    <row r="31" spans="1:22" x14ac:dyDescent="0.2">
      <c r="A31" s="47"/>
      <c r="B31" s="76"/>
      <c r="C31" s="76"/>
      <c r="D31" s="76"/>
      <c r="F31" s="6">
        <f t="shared" si="8"/>
        <v>28</v>
      </c>
      <c r="G31" s="54"/>
      <c r="H31" s="7">
        <v>332.14161425634921</v>
      </c>
      <c r="I31" s="60">
        <f t="shared" si="9"/>
        <v>10.379425445510913</v>
      </c>
      <c r="J31" s="60">
        <f t="shared" si="10"/>
        <v>9.9469493852812914</v>
      </c>
      <c r="K31" s="60">
        <f t="shared" si="11"/>
        <v>243.49303182719837</v>
      </c>
      <c r="L31" s="54">
        <f t="shared" si="0"/>
        <v>263.81940665799056</v>
      </c>
      <c r="M31" s="7">
        <f t="shared" si="12"/>
        <v>404.03897908565926</v>
      </c>
      <c r="N31" s="7">
        <f t="shared" si="1"/>
        <v>999.99999999999909</v>
      </c>
      <c r="O31" s="7"/>
      <c r="P31" s="7">
        <f t="shared" si="2"/>
        <v>16607.08071281746</v>
      </c>
      <c r="Q31" s="7">
        <f t="shared" si="3"/>
        <v>263819.40665799053</v>
      </c>
      <c r="R31" s="7">
        <f t="shared" si="4"/>
        <v>280426.48737080797</v>
      </c>
      <c r="S31" s="7"/>
      <c r="T31" s="7">
        <f t="shared" si="5"/>
        <v>298.92745283071429</v>
      </c>
      <c r="U31" s="7">
        <f t="shared" si="6"/>
        <v>158.29164399479433</v>
      </c>
      <c r="V31" s="8">
        <f t="shared" si="7"/>
        <v>457.21909682550859</v>
      </c>
    </row>
    <row r="32" spans="1:22" x14ac:dyDescent="0.2">
      <c r="A32" s="47"/>
      <c r="B32" s="76"/>
      <c r="C32" s="76"/>
      <c r="D32" s="76"/>
      <c r="F32" s="6">
        <f t="shared" si="8"/>
        <v>29</v>
      </c>
      <c r="G32" s="54"/>
      <c r="H32" s="7">
        <v>318.85594968609524</v>
      </c>
      <c r="I32" s="60">
        <f t="shared" si="9"/>
        <v>9.9642484276904764</v>
      </c>
      <c r="J32" s="60">
        <f t="shared" si="10"/>
        <v>9.5490714098700398</v>
      </c>
      <c r="K32" s="60">
        <f t="shared" si="11"/>
        <v>243.10344297627483</v>
      </c>
      <c r="L32" s="54">
        <f t="shared" si="0"/>
        <v>262.61676281383535</v>
      </c>
      <c r="M32" s="7">
        <f t="shared" si="12"/>
        <v>418.52728750006844</v>
      </c>
      <c r="N32" s="7">
        <f t="shared" si="1"/>
        <v>999.99999999999909</v>
      </c>
      <c r="O32" s="7"/>
      <c r="P32" s="7">
        <f t="shared" si="2"/>
        <v>15942.797484304761</v>
      </c>
      <c r="Q32" s="7">
        <f t="shared" si="3"/>
        <v>262616.76281383535</v>
      </c>
      <c r="R32" s="7">
        <f t="shared" si="4"/>
        <v>278559.5602981401</v>
      </c>
      <c r="S32" s="7"/>
      <c r="T32" s="7">
        <f t="shared" si="5"/>
        <v>286.97035471748575</v>
      </c>
      <c r="U32" s="7">
        <f t="shared" si="6"/>
        <v>157.5700576883012</v>
      </c>
      <c r="V32" s="8">
        <f t="shared" si="7"/>
        <v>444.54041240578692</v>
      </c>
    </row>
    <row r="33" spans="6:23" x14ac:dyDescent="0.2">
      <c r="F33" s="6">
        <f t="shared" si="8"/>
        <v>30</v>
      </c>
      <c r="G33" s="54"/>
      <c r="H33" s="7">
        <v>306.1017116986514</v>
      </c>
      <c r="I33" s="60">
        <f t="shared" si="9"/>
        <v>9.5656784905828562</v>
      </c>
      <c r="J33" s="60">
        <f t="shared" si="10"/>
        <v>9.1671085534752379</v>
      </c>
      <c r="K33" s="60">
        <f t="shared" si="11"/>
        <v>242.35543238250165</v>
      </c>
      <c r="L33" s="54">
        <f t="shared" si="0"/>
        <v>261.08821942655976</v>
      </c>
      <c r="M33" s="7">
        <f t="shared" si="12"/>
        <v>432.81006887478782</v>
      </c>
      <c r="N33" s="7">
        <f t="shared" si="1"/>
        <v>999.99999999999898</v>
      </c>
      <c r="O33" s="7"/>
      <c r="P33" s="7">
        <f t="shared" si="2"/>
        <v>15305.085584932571</v>
      </c>
      <c r="Q33" s="7">
        <f t="shared" si="3"/>
        <v>261088.21942655975</v>
      </c>
      <c r="R33" s="7">
        <f t="shared" si="4"/>
        <v>276393.30501149234</v>
      </c>
      <c r="S33" s="7"/>
      <c r="T33" s="7">
        <f t="shared" si="5"/>
        <v>275.49154052878629</v>
      </c>
      <c r="U33" s="7">
        <f t="shared" si="6"/>
        <v>156.65293165593584</v>
      </c>
      <c r="V33" s="8">
        <f t="shared" si="7"/>
        <v>432.14447218472213</v>
      </c>
    </row>
    <row r="34" spans="6:23" x14ac:dyDescent="0.2">
      <c r="F34" s="6">
        <f t="shared" si="8"/>
        <v>31</v>
      </c>
      <c r="G34" s="54"/>
      <c r="H34" s="7">
        <v>293.85764323070532</v>
      </c>
      <c r="I34" s="60">
        <f t="shared" si="9"/>
        <v>9.1830513509595413</v>
      </c>
      <c r="J34" s="60">
        <f t="shared" si="10"/>
        <v>8.8004242113362281</v>
      </c>
      <c r="K34" s="60">
        <f t="shared" si="11"/>
        <v>241.27829712746831</v>
      </c>
      <c r="L34" s="54">
        <f t="shared" si="0"/>
        <v>259.26177268976409</v>
      </c>
      <c r="M34" s="7">
        <f t="shared" si="12"/>
        <v>446.88058407952951</v>
      </c>
      <c r="N34" s="7">
        <f t="shared" si="1"/>
        <v>999.99999999999898</v>
      </c>
      <c r="O34" s="7"/>
      <c r="P34" s="7">
        <f t="shared" si="2"/>
        <v>14692.882161535266</v>
      </c>
      <c r="Q34" s="7">
        <f t="shared" si="3"/>
        <v>259261.7726897641</v>
      </c>
      <c r="R34" s="7">
        <f t="shared" si="4"/>
        <v>273954.65485129936</v>
      </c>
      <c r="S34" s="7"/>
      <c r="T34" s="7">
        <f t="shared" si="5"/>
        <v>264.47187890763479</v>
      </c>
      <c r="U34" s="7">
        <f t="shared" si="6"/>
        <v>155.55706361385845</v>
      </c>
      <c r="V34" s="8">
        <f t="shared" si="7"/>
        <v>420.02894252149326</v>
      </c>
    </row>
    <row r="35" spans="6:23" x14ac:dyDescent="0.2">
      <c r="F35" s="6">
        <f t="shared" si="8"/>
        <v>32</v>
      </c>
      <c r="G35" s="54"/>
      <c r="H35" s="7">
        <v>282.10333750147709</v>
      </c>
      <c r="I35" s="60">
        <f t="shared" si="9"/>
        <v>8.8157292969211589</v>
      </c>
      <c r="J35" s="60">
        <f t="shared" si="10"/>
        <v>8.4484072428827783</v>
      </c>
      <c r="K35" s="60">
        <f t="shared" si="11"/>
        <v>239.89956400102562</v>
      </c>
      <c r="L35" s="54">
        <f t="shared" si="0"/>
        <v>257.16370054082955</v>
      </c>
      <c r="M35" s="7">
        <f t="shared" si="12"/>
        <v>460.73296195769223</v>
      </c>
      <c r="N35" s="7">
        <f t="shared" si="1"/>
        <v>999.99999999999886</v>
      </c>
      <c r="O35" s="7"/>
      <c r="P35" s="7">
        <f t="shared" si="2"/>
        <v>14105.166875073854</v>
      </c>
      <c r="Q35" s="7">
        <f t="shared" si="3"/>
        <v>257163.70054082957</v>
      </c>
      <c r="R35" s="7">
        <f t="shared" si="4"/>
        <v>271268.86741590343</v>
      </c>
      <c r="S35" s="7"/>
      <c r="T35" s="7">
        <f t="shared" si="5"/>
        <v>253.89300375132939</v>
      </c>
      <c r="U35" s="7">
        <f t="shared" si="6"/>
        <v>154.29822032449772</v>
      </c>
      <c r="V35" s="8">
        <f t="shared" si="7"/>
        <v>408.19122407582711</v>
      </c>
    </row>
    <row r="36" spans="6:23" x14ac:dyDescent="0.2">
      <c r="F36" s="6">
        <f t="shared" si="8"/>
        <v>33</v>
      </c>
      <c r="G36" s="54"/>
      <c r="H36" s="7">
        <v>270.81920400141797</v>
      </c>
      <c r="I36" s="60">
        <f t="shared" si="9"/>
        <v>8.4631001250443116</v>
      </c>
      <c r="J36" s="60">
        <f t="shared" si="10"/>
        <v>8.1104709531674661</v>
      </c>
      <c r="K36" s="60">
        <f t="shared" si="11"/>
        <v>238.24508424929442</v>
      </c>
      <c r="L36" s="54">
        <f t="shared" si="0"/>
        <v>254.81865532750621</v>
      </c>
      <c r="M36" s="7">
        <f t="shared" si="12"/>
        <v>474.36214067107466</v>
      </c>
      <c r="N36" s="7">
        <f t="shared" si="1"/>
        <v>999.99999999999886</v>
      </c>
      <c r="O36" s="7"/>
      <c r="P36" s="7">
        <f t="shared" si="2"/>
        <v>13540.960200070898</v>
      </c>
      <c r="Q36" s="7">
        <f t="shared" si="3"/>
        <v>254818.65532750622</v>
      </c>
      <c r="R36" s="7">
        <f t="shared" si="4"/>
        <v>268359.61552757712</v>
      </c>
      <c r="S36" s="7"/>
      <c r="T36" s="7">
        <f t="shared" si="5"/>
        <v>243.73728360127618</v>
      </c>
      <c r="U36" s="7">
        <f t="shared" si="6"/>
        <v>152.89119319650371</v>
      </c>
      <c r="V36" s="8">
        <f t="shared" si="7"/>
        <v>396.62847679777985</v>
      </c>
    </row>
    <row r="37" spans="6:23" x14ac:dyDescent="0.2">
      <c r="F37" s="6">
        <f t="shared" si="8"/>
        <v>34</v>
      </c>
      <c r="G37" s="54"/>
      <c r="H37" s="7">
        <v>259.98643584136124</v>
      </c>
      <c r="I37" s="60">
        <f t="shared" si="9"/>
        <v>8.1245761200425388</v>
      </c>
      <c r="J37" s="60">
        <f t="shared" si="10"/>
        <v>7.7860521150407669</v>
      </c>
      <c r="K37" s="60">
        <f t="shared" si="11"/>
        <v>236.33912357530008</v>
      </c>
      <c r="L37" s="54">
        <f t="shared" si="0"/>
        <v>252.24975181038337</v>
      </c>
      <c r="M37" s="7">
        <f t="shared" si="12"/>
        <v>487.76381234825419</v>
      </c>
      <c r="N37" s="7">
        <f t="shared" si="1"/>
        <v>999.99999999999886</v>
      </c>
      <c r="O37" s="7"/>
      <c r="P37" s="7">
        <f t="shared" si="2"/>
        <v>12999.321792068062</v>
      </c>
      <c r="Q37" s="7">
        <f t="shared" si="3"/>
        <v>252249.75181038337</v>
      </c>
      <c r="R37" s="7">
        <f t="shared" si="4"/>
        <v>265249.07360245142</v>
      </c>
      <c r="S37" s="7"/>
      <c r="T37" s="7">
        <f t="shared" si="5"/>
        <v>233.98779225722512</v>
      </c>
      <c r="U37" s="7">
        <f t="shared" si="6"/>
        <v>151.34985108623002</v>
      </c>
      <c r="V37" s="8">
        <f t="shared" si="7"/>
        <v>385.33764334345517</v>
      </c>
    </row>
    <row r="38" spans="6:23" x14ac:dyDescent="0.2">
      <c r="F38" s="6">
        <f t="shared" si="8"/>
        <v>35</v>
      </c>
      <c r="G38" s="54"/>
      <c r="H38" s="7">
        <v>249.58697840770679</v>
      </c>
      <c r="I38" s="60">
        <f t="shared" si="9"/>
        <v>7.7995930752408373</v>
      </c>
      <c r="J38" s="60">
        <f t="shared" si="10"/>
        <v>7.4746100304391359</v>
      </c>
      <c r="K38" s="60">
        <f t="shared" si="11"/>
        <v>234.20444762042641</v>
      </c>
      <c r="L38" s="54">
        <f t="shared" si="0"/>
        <v>249.47865072610637</v>
      </c>
      <c r="M38" s="7">
        <f t="shared" si="12"/>
        <v>500.93437086618565</v>
      </c>
      <c r="N38" s="7">
        <f t="shared" si="1"/>
        <v>999.99999999999886</v>
      </c>
      <c r="O38" s="7"/>
      <c r="P38" s="7">
        <f t="shared" si="2"/>
        <v>12479.348920385341</v>
      </c>
      <c r="Q38" s="7">
        <f t="shared" si="3"/>
        <v>249478.65072610637</v>
      </c>
      <c r="R38" s="7">
        <f t="shared" si="4"/>
        <v>261957.99964649172</v>
      </c>
      <c r="S38" s="7"/>
      <c r="T38" s="7">
        <f t="shared" si="5"/>
        <v>224.62828056693613</v>
      </c>
      <c r="U38" s="7">
        <f t="shared" si="6"/>
        <v>149.68719043566381</v>
      </c>
      <c r="V38" s="8">
        <f t="shared" si="7"/>
        <v>374.31547100259991</v>
      </c>
    </row>
    <row r="39" spans="6:23" x14ac:dyDescent="0.2">
      <c r="F39" s="6">
        <f t="shared" si="8"/>
        <v>36</v>
      </c>
      <c r="G39" s="54"/>
      <c r="H39" s="7">
        <v>239.6034992713985</v>
      </c>
      <c r="I39" s="60">
        <f t="shared" si="9"/>
        <v>7.4876093522312033</v>
      </c>
      <c r="J39" s="60">
        <f t="shared" si="10"/>
        <v>7.175625629221571</v>
      </c>
      <c r="K39" s="60">
        <f t="shared" si="11"/>
        <v>231.86240314422213</v>
      </c>
      <c r="L39" s="54">
        <f t="shared" si="0"/>
        <v>246.5256381256749</v>
      </c>
      <c r="M39" s="7">
        <f t="shared" si="12"/>
        <v>513.8708626029254</v>
      </c>
      <c r="N39" s="7">
        <f t="shared" si="1"/>
        <v>999.99999999999886</v>
      </c>
      <c r="O39" s="7"/>
      <c r="P39" s="7">
        <f t="shared" si="2"/>
        <v>11980.174963569925</v>
      </c>
      <c r="Q39" s="7">
        <f t="shared" si="3"/>
        <v>246525.63812567492</v>
      </c>
      <c r="R39" s="7">
        <f t="shared" si="4"/>
        <v>258505.81308924485</v>
      </c>
      <c r="S39" s="7"/>
      <c r="T39" s="7">
        <f t="shared" si="5"/>
        <v>215.64314934425866</v>
      </c>
      <c r="U39" s="7">
        <f t="shared" si="6"/>
        <v>147.91538287540493</v>
      </c>
      <c r="V39" s="8">
        <f t="shared" si="7"/>
        <v>363.55853221966356</v>
      </c>
    </row>
    <row r="40" spans="6:23" x14ac:dyDescent="0.2">
      <c r="F40" s="6">
        <f t="shared" si="8"/>
        <v>37</v>
      </c>
      <c r="G40" s="54"/>
      <c r="H40" s="7">
        <v>230.01935930054256</v>
      </c>
      <c r="I40" s="60">
        <f t="shared" si="9"/>
        <v>7.188104978141955</v>
      </c>
      <c r="J40" s="60">
        <f t="shared" si="10"/>
        <v>6.8886006040527077</v>
      </c>
      <c r="K40" s="60">
        <f t="shared" si="11"/>
        <v>229.33299510992151</v>
      </c>
      <c r="L40" s="54">
        <f t="shared" si="0"/>
        <v>243.40970069211619</v>
      </c>
      <c r="M40" s="7">
        <f t="shared" si="12"/>
        <v>526.57094000734003</v>
      </c>
      <c r="N40" s="7">
        <f t="shared" si="1"/>
        <v>999.99999999999875</v>
      </c>
      <c r="O40" s="7"/>
      <c r="P40" s="7">
        <f t="shared" si="2"/>
        <v>11500.967965027128</v>
      </c>
      <c r="Q40" s="7">
        <f t="shared" si="3"/>
        <v>243409.7006921162</v>
      </c>
      <c r="R40" s="7">
        <f t="shared" si="4"/>
        <v>254910.66865714331</v>
      </c>
      <c r="S40" s="7"/>
      <c r="T40" s="7">
        <f t="shared" si="5"/>
        <v>207.0174233704883</v>
      </c>
      <c r="U40" s="7">
        <f t="shared" si="6"/>
        <v>146.0458204152697</v>
      </c>
      <c r="V40" s="8">
        <f t="shared" si="7"/>
        <v>353.063243785758</v>
      </c>
    </row>
    <row r="41" spans="6:23" x14ac:dyDescent="0.2">
      <c r="F41" s="6">
        <f t="shared" si="8"/>
        <v>38</v>
      </c>
      <c r="G41" s="54"/>
      <c r="H41" s="7">
        <v>220.81858492852086</v>
      </c>
      <c r="I41" s="60">
        <f t="shared" si="9"/>
        <v>6.900580779016277</v>
      </c>
      <c r="J41" s="60">
        <f t="shared" si="10"/>
        <v>6.6130565798905989</v>
      </c>
      <c r="K41" s="60">
        <f t="shared" si="11"/>
        <v>226.6349598733342</v>
      </c>
      <c r="L41" s="54">
        <f t="shared" si="0"/>
        <v>240.14859723224106</v>
      </c>
      <c r="M41" s="7">
        <f t="shared" si="12"/>
        <v>539.03281783923683</v>
      </c>
      <c r="N41" s="7">
        <f t="shared" si="1"/>
        <v>999.99999999999875</v>
      </c>
      <c r="O41" s="7"/>
      <c r="P41" s="7">
        <f t="shared" si="2"/>
        <v>11040.929246426043</v>
      </c>
      <c r="Q41" s="7">
        <f t="shared" si="3"/>
        <v>240148.59723224107</v>
      </c>
      <c r="R41" s="7">
        <f t="shared" si="4"/>
        <v>251189.5264786671</v>
      </c>
      <c r="S41" s="7"/>
      <c r="T41" s="7">
        <f t="shared" si="5"/>
        <v>198.73672643566877</v>
      </c>
      <c r="U41" s="7">
        <f t="shared" si="6"/>
        <v>144.08915833934464</v>
      </c>
      <c r="V41" s="8">
        <f t="shared" si="7"/>
        <v>342.82588477501338</v>
      </c>
    </row>
    <row r="42" spans="6:23" x14ac:dyDescent="0.2">
      <c r="F42" s="6">
        <f t="shared" si="8"/>
        <v>39</v>
      </c>
      <c r="G42" s="54"/>
      <c r="H42" s="7">
        <v>211.98584153138003</v>
      </c>
      <c r="I42" s="60">
        <f t="shared" si="9"/>
        <v>6.624557547855626</v>
      </c>
      <c r="J42" s="60">
        <f t="shared" si="10"/>
        <v>6.348534316694975</v>
      </c>
      <c r="K42" s="60">
        <f t="shared" si="11"/>
        <v>223.78583466349798</v>
      </c>
      <c r="L42" s="54">
        <f t="shared" si="0"/>
        <v>236.75892652804859</v>
      </c>
      <c r="M42" s="7">
        <f t="shared" si="12"/>
        <v>551.25523194057018</v>
      </c>
      <c r="N42" s="7">
        <f t="shared" si="1"/>
        <v>999.99999999999886</v>
      </c>
      <c r="O42" s="7"/>
      <c r="P42" s="7">
        <f t="shared" si="2"/>
        <v>10599.292076569001</v>
      </c>
      <c r="Q42" s="7">
        <f t="shared" si="3"/>
        <v>236758.92652804859</v>
      </c>
      <c r="R42" s="7">
        <f t="shared" si="4"/>
        <v>247358.21860461758</v>
      </c>
      <c r="S42" s="7"/>
      <c r="T42" s="7">
        <f t="shared" si="5"/>
        <v>190.78725737824203</v>
      </c>
      <c r="U42" s="7">
        <f t="shared" si="6"/>
        <v>142.05535591682914</v>
      </c>
      <c r="V42" s="8">
        <f t="shared" si="7"/>
        <v>332.84261329507115</v>
      </c>
    </row>
    <row r="43" spans="6:23" ht="17" thickBot="1" x14ac:dyDescent="0.25">
      <c r="F43" s="9">
        <f t="shared" si="8"/>
        <v>40</v>
      </c>
      <c r="G43" s="55"/>
      <c r="H43" s="10">
        <v>203.50640787012483</v>
      </c>
      <c r="I43" s="63">
        <f t="shared" si="9"/>
        <v>6.359575245941401</v>
      </c>
      <c r="J43" s="63">
        <f t="shared" si="10"/>
        <v>6.094592944027176</v>
      </c>
      <c r="K43" s="63">
        <f t="shared" si="11"/>
        <v>220.80202353465134</v>
      </c>
      <c r="L43" s="55">
        <f t="shared" si="0"/>
        <v>233.25619172461992</v>
      </c>
      <c r="M43" s="10">
        <f t="shared" si="12"/>
        <v>563.23740040525411</v>
      </c>
      <c r="N43" s="10">
        <f t="shared" si="1"/>
        <v>999.99999999999886</v>
      </c>
      <c r="O43" s="10"/>
      <c r="P43" s="10">
        <f>H43*$B$11</f>
        <v>10175.320393506241</v>
      </c>
      <c r="Q43" s="10">
        <f t="shared" si="3"/>
        <v>233256.19172461992</v>
      </c>
      <c r="R43" s="10">
        <f t="shared" si="4"/>
        <v>243431.51211812615</v>
      </c>
      <c r="S43" s="10"/>
      <c r="T43" s="10">
        <f t="shared" si="5"/>
        <v>183.15576708311235</v>
      </c>
      <c r="U43" s="7">
        <f t="shared" si="6"/>
        <v>139.95371503477196</v>
      </c>
      <c r="V43" s="11">
        <f t="shared" si="7"/>
        <v>323.10948211788434</v>
      </c>
    </row>
    <row r="44" spans="6:23" ht="17" thickBot="1" x14ac:dyDescent="0.25">
      <c r="F44" s="3"/>
      <c r="G44" s="3"/>
      <c r="H44" s="3"/>
      <c r="I44" s="3"/>
      <c r="J44" s="3"/>
      <c r="K44" s="3"/>
      <c r="L44" s="3"/>
    </row>
    <row r="45" spans="6:23" ht="17" thickBot="1" x14ac:dyDescent="0.25">
      <c r="P45" s="67">
        <f>SUM(P1:P43)/$H$4</f>
        <v>1005.7923105558491</v>
      </c>
      <c r="Q45" s="68">
        <f t="shared" ref="Q45:R45" si="13">SUM(Q1:Q43)/$H$4</f>
        <v>8476.2780439931339</v>
      </c>
      <c r="R45" s="68">
        <f t="shared" si="13"/>
        <v>9482.0703545489778</v>
      </c>
      <c r="S45" s="68"/>
      <c r="T45" s="37">
        <f>SUM(T4:T43)/$H$4</f>
        <v>18.104261590005283</v>
      </c>
      <c r="U45" s="37">
        <f t="shared" ref="U45:V45" si="14">SUM(U4:U43)/$H$4</f>
        <v>5.085766826395882</v>
      </c>
      <c r="V45" s="37">
        <f t="shared" si="14"/>
        <v>23.190028416401169</v>
      </c>
      <c r="W45" s="85"/>
    </row>
    <row r="46" spans="6:23" ht="17" thickBot="1" x14ac:dyDescent="0.25">
      <c r="R46" s="86" t="s">
        <v>14</v>
      </c>
      <c r="S46" s="87"/>
      <c r="U46" s="88" t="s">
        <v>15</v>
      </c>
      <c r="V46" s="88"/>
    </row>
  </sheetData>
  <hyperlinks>
    <hyperlink ref="C2" r:id="rId1" xr:uid="{4D76D1D4-B5D9-9744-AA94-F4D33CC9D47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45D2-4682-2E43-8FEF-D0387EE834DA}">
  <sheetPr codeName="Sheet7"/>
  <dimension ref="A1:J105"/>
  <sheetViews>
    <sheetView showGridLines="0" workbookViewId="0">
      <selection activeCell="L19" sqref="L19"/>
    </sheetView>
  </sheetViews>
  <sheetFormatPr baseColWidth="10" defaultRowHeight="16" x14ac:dyDescent="0.2"/>
  <cols>
    <col min="1" max="1" width="11.83203125" bestFit="1" customWidth="1"/>
    <col min="2" max="2" width="12.1640625" bestFit="1" customWidth="1"/>
    <col min="3" max="3" width="20.1640625" bestFit="1" customWidth="1"/>
  </cols>
  <sheetData>
    <row r="1" spans="1:10" x14ac:dyDescent="0.2">
      <c r="A1" s="42" t="s">
        <v>83</v>
      </c>
      <c r="B1" s="42"/>
      <c r="C1" s="42"/>
    </row>
    <row r="2" spans="1:10" ht="17" thickBot="1" x14ac:dyDescent="0.25">
      <c r="A2" s="42" t="s">
        <v>17</v>
      </c>
      <c r="B2" s="42" t="s">
        <v>29</v>
      </c>
      <c r="C2" s="64" t="s">
        <v>28</v>
      </c>
      <c r="D2" s="42"/>
    </row>
    <row r="3" spans="1:10" x14ac:dyDescent="0.2">
      <c r="A3" s="33"/>
      <c r="B3" s="62" t="s">
        <v>81</v>
      </c>
      <c r="C3" s="62" t="s">
        <v>82</v>
      </c>
      <c r="D3" s="34"/>
      <c r="E3" s="34"/>
      <c r="F3" s="34"/>
      <c r="G3" s="34"/>
      <c r="H3" s="34"/>
      <c r="I3" s="62" t="s">
        <v>89</v>
      </c>
      <c r="J3" s="35"/>
    </row>
    <row r="4" spans="1:10" x14ac:dyDescent="0.2">
      <c r="A4" s="95"/>
      <c r="B4" s="96" t="s">
        <v>63</v>
      </c>
      <c r="C4" s="96" t="s">
        <v>64</v>
      </c>
      <c r="D4" s="96" t="s">
        <v>88</v>
      </c>
      <c r="E4" s="96" t="s">
        <v>84</v>
      </c>
      <c r="F4" s="96" t="s">
        <v>85</v>
      </c>
      <c r="G4" s="96" t="s">
        <v>86</v>
      </c>
      <c r="H4" s="96" t="s">
        <v>73</v>
      </c>
      <c r="I4" s="96" t="s">
        <v>90</v>
      </c>
      <c r="J4" s="97" t="s">
        <v>91</v>
      </c>
    </row>
    <row r="5" spans="1:10" x14ac:dyDescent="0.2">
      <c r="A5" s="95" t="s">
        <v>87</v>
      </c>
      <c r="B5" s="99">
        <f ca="1">p_healthy_dead</f>
        <v>9.4396037386630383E-3</v>
      </c>
      <c r="C5" s="99">
        <f ca="1">p_healthy_dead</f>
        <v>9.4396037386630383E-3</v>
      </c>
      <c r="D5" s="99">
        <f ca="1">p_diseased_dead</f>
        <v>5.4075480832758371E-2</v>
      </c>
      <c r="E5" s="99">
        <f ca="1">c_healthy</f>
        <v>0.64866653067146429</v>
      </c>
      <c r="F5" s="99">
        <f ca="1">c_diseased</f>
        <v>6.7280068456788387</v>
      </c>
      <c r="G5" s="99">
        <f ca="1">u_healty</f>
        <v>0.95419585319770617</v>
      </c>
      <c r="H5" s="99">
        <f ca="1">u_diseased</f>
        <v>0.89988937988955797</v>
      </c>
      <c r="I5" s="100">
        <f ca="1">'PSA Formatted'!N45</f>
        <v>66.906245404273051</v>
      </c>
      <c r="J5" s="101">
        <f ca="1">'PSA Formatted'!R45</f>
        <v>26.140617114739022</v>
      </c>
    </row>
    <row r="6" spans="1:10" x14ac:dyDescent="0.2">
      <c r="A6" s="95">
        <v>1</v>
      </c>
      <c r="B6" s="99">
        <v>6.514912902543581E-3</v>
      </c>
      <c r="C6" s="99">
        <v>6.514912902543581E-3</v>
      </c>
      <c r="D6" s="99">
        <v>7.3410047896469321E-2</v>
      </c>
      <c r="E6" s="99">
        <v>0.64794300761948831</v>
      </c>
      <c r="F6" s="99">
        <v>11.642542573626793</v>
      </c>
      <c r="G6" s="99">
        <v>0.84803153262893682</v>
      </c>
      <c r="H6" s="99">
        <v>0.9295145487888925</v>
      </c>
      <c r="I6" s="99">
        <v>65.312925119355739</v>
      </c>
      <c r="J6" s="101">
        <v>26.620453877574487</v>
      </c>
    </row>
    <row r="7" spans="1:10" x14ac:dyDescent="0.2">
      <c r="A7" s="95">
        <v>2</v>
      </c>
      <c r="B7" s="99">
        <v>1.3710529875636081E-3</v>
      </c>
      <c r="C7" s="99">
        <v>1.3710529875636081E-3</v>
      </c>
      <c r="D7" s="99">
        <v>1.8364563106713236E-2</v>
      </c>
      <c r="E7" s="99">
        <v>0.56639999672912011</v>
      </c>
      <c r="F7" s="99">
        <v>9.9108543002683103</v>
      </c>
      <c r="G7" s="99">
        <v>0.90836711901383449</v>
      </c>
      <c r="H7" s="99">
        <v>0.91699346264307002</v>
      </c>
      <c r="I7" s="99">
        <v>118.25914653500296</v>
      </c>
      <c r="J7" s="101">
        <v>33.146270916689943</v>
      </c>
    </row>
    <row r="8" spans="1:10" x14ac:dyDescent="0.2">
      <c r="A8" s="95">
        <v>3</v>
      </c>
      <c r="B8" s="99">
        <v>2.6431140226119587E-2</v>
      </c>
      <c r="C8" s="99">
        <v>2.6431140226119587E-2</v>
      </c>
      <c r="D8" s="99">
        <v>6.0686227577400498E-2</v>
      </c>
      <c r="E8" s="99">
        <v>0.56688376139566021</v>
      </c>
      <c r="F8" s="99">
        <v>8.2900189538966131</v>
      </c>
      <c r="G8" s="99">
        <v>0.91540793406922538</v>
      </c>
      <c r="H8" s="99">
        <v>0.90079454832484185</v>
      </c>
      <c r="I8" s="99">
        <v>61.170139321257835</v>
      </c>
      <c r="J8" s="101">
        <v>19.907240456333955</v>
      </c>
    </row>
    <row r="9" spans="1:10" x14ac:dyDescent="0.2">
      <c r="A9" s="95">
        <v>4</v>
      </c>
      <c r="B9" s="99">
        <v>5.1740775993452844E-3</v>
      </c>
      <c r="C9" s="99">
        <v>5.1740775993452844E-3</v>
      </c>
      <c r="D9" s="99">
        <v>4.431626724077227E-2</v>
      </c>
      <c r="E9" s="99">
        <v>0.32125233945856418</v>
      </c>
      <c r="F9" s="99">
        <v>10.796756957186696</v>
      </c>
      <c r="G9" s="99">
        <v>0.90132981742231189</v>
      </c>
      <c r="H9" s="99">
        <v>0.92626446676277319</v>
      </c>
      <c r="I9" s="99">
        <v>104.24761759494574</v>
      </c>
      <c r="J9" s="101">
        <v>27.916449830392963</v>
      </c>
    </row>
    <row r="10" spans="1:10" x14ac:dyDescent="0.2">
      <c r="A10" s="95">
        <v>5</v>
      </c>
      <c r="B10" s="99">
        <v>1.4259169355498235E-3</v>
      </c>
      <c r="C10" s="99">
        <v>1.4259169355498235E-3</v>
      </c>
      <c r="D10" s="99">
        <v>5.9520340689911744E-2</v>
      </c>
      <c r="E10" s="99">
        <v>0.55398067500454484</v>
      </c>
      <c r="F10" s="99">
        <v>10.867661241329373</v>
      </c>
      <c r="G10" s="99">
        <v>0.88486273316963948</v>
      </c>
      <c r="H10" s="99">
        <v>0.87816425361975836</v>
      </c>
      <c r="I10" s="99">
        <v>97.861084634199017</v>
      </c>
      <c r="J10" s="101">
        <v>27.730127606327073</v>
      </c>
    </row>
    <row r="11" spans="1:10" x14ac:dyDescent="0.2">
      <c r="A11" s="95">
        <v>6</v>
      </c>
      <c r="B11" s="99">
        <v>5.0318643658745187E-3</v>
      </c>
      <c r="C11" s="99">
        <v>5.0318643658745187E-3</v>
      </c>
      <c r="D11" s="99">
        <v>2.716881762975544E-2</v>
      </c>
      <c r="E11" s="99">
        <v>0.37528428372978784</v>
      </c>
      <c r="F11" s="99">
        <v>10.252115120926128</v>
      </c>
      <c r="G11" s="99">
        <v>0.93505059389038392</v>
      </c>
      <c r="H11" s="99">
        <v>0.91817297313955903</v>
      </c>
      <c r="I11" s="99">
        <v>123.19718696180361</v>
      </c>
      <c r="J11" s="101">
        <v>30.315244625265631</v>
      </c>
    </row>
    <row r="12" spans="1:10" x14ac:dyDescent="0.2">
      <c r="A12" s="95">
        <v>7</v>
      </c>
      <c r="B12" s="99">
        <v>4.255994241640854E-3</v>
      </c>
      <c r="C12" s="99">
        <v>4.255994241640854E-3</v>
      </c>
      <c r="D12" s="99">
        <v>6.7382466071426506E-2</v>
      </c>
      <c r="E12" s="99">
        <v>0.43204327072386944</v>
      </c>
      <c r="F12" s="99">
        <v>10.754155946507057</v>
      </c>
      <c r="G12" s="99">
        <v>0.87271133200289219</v>
      </c>
      <c r="H12" s="99">
        <v>0.87443795064002661</v>
      </c>
      <c r="I12" s="99">
        <v>94.929709473512006</v>
      </c>
      <c r="J12" s="101">
        <v>24.68704516458104</v>
      </c>
    </row>
    <row r="13" spans="1:10" x14ac:dyDescent="0.2">
      <c r="A13" s="95">
        <v>8</v>
      </c>
      <c r="B13" s="99">
        <v>1.0698201977536903E-2</v>
      </c>
      <c r="C13" s="99">
        <v>1.0698201977536903E-2</v>
      </c>
      <c r="D13" s="99">
        <v>8.9538706638681687E-2</v>
      </c>
      <c r="E13" s="99">
        <v>0.48504382715982813</v>
      </c>
      <c r="F13" s="99">
        <v>11.079860229064689</v>
      </c>
      <c r="G13" s="99">
        <v>0.92961454621895845</v>
      </c>
      <c r="H13" s="99">
        <v>0.95007320544663576</v>
      </c>
      <c r="I13" s="99">
        <v>41.792128960501643</v>
      </c>
      <c r="J13" s="101">
        <v>27.499699267121489</v>
      </c>
    </row>
    <row r="14" spans="1:10" x14ac:dyDescent="0.2">
      <c r="A14" s="95">
        <v>9</v>
      </c>
      <c r="B14" s="99">
        <v>3.6705699270486829E-3</v>
      </c>
      <c r="C14" s="99">
        <v>3.6705699270486829E-3</v>
      </c>
      <c r="D14" s="99">
        <v>4.6289788317598266E-2</v>
      </c>
      <c r="E14" s="99">
        <v>0.45532057508657292</v>
      </c>
      <c r="F14" s="99">
        <v>8.8317565811377783</v>
      </c>
      <c r="G14" s="99">
        <v>0.90096565226517666</v>
      </c>
      <c r="H14" s="99">
        <v>0.91390679128241958</v>
      </c>
      <c r="I14" s="99">
        <v>76.854839930711066</v>
      </c>
      <c r="J14" s="101">
        <v>29.274539869940721</v>
      </c>
    </row>
    <row r="15" spans="1:10" x14ac:dyDescent="0.2">
      <c r="A15" s="95">
        <v>10</v>
      </c>
      <c r="B15" s="99">
        <v>4.2208235726393529E-3</v>
      </c>
      <c r="C15" s="99">
        <v>4.2208235726393529E-3</v>
      </c>
      <c r="D15" s="99">
        <v>5.7618176031187129E-2</v>
      </c>
      <c r="E15" s="99">
        <v>0.28214602382340453</v>
      </c>
      <c r="F15" s="99">
        <v>11.043929087560578</v>
      </c>
      <c r="G15" s="99">
        <v>0.84350649244700571</v>
      </c>
      <c r="H15" s="99">
        <v>0.92958067133213684</v>
      </c>
      <c r="I15" s="99">
        <v>68.548316872966083</v>
      </c>
      <c r="J15" s="101">
        <v>27.712336347203149</v>
      </c>
    </row>
    <row r="16" spans="1:10" x14ac:dyDescent="0.2">
      <c r="A16" s="95">
        <v>11</v>
      </c>
      <c r="B16" s="99">
        <v>4.2920176515442098E-4</v>
      </c>
      <c r="C16" s="99">
        <v>4.2920176515442098E-4</v>
      </c>
      <c r="D16" s="99">
        <v>4.3254515000215897E-2</v>
      </c>
      <c r="E16" s="99">
        <v>0.60954157225597583</v>
      </c>
      <c r="F16" s="99">
        <v>14.083441325533769</v>
      </c>
      <c r="G16" s="99">
        <v>0.84969914849456785</v>
      </c>
      <c r="H16" s="99">
        <v>0.88369405547304702</v>
      </c>
      <c r="I16" s="99">
        <v>131.10408166455505</v>
      </c>
      <c r="J16" s="101">
        <v>29.305404584129271</v>
      </c>
    </row>
    <row r="17" spans="1:10" x14ac:dyDescent="0.2">
      <c r="A17" s="95">
        <v>12</v>
      </c>
      <c r="B17" s="99">
        <v>2.5652970488471991E-3</v>
      </c>
      <c r="C17" s="99">
        <v>2.5652970488471991E-3</v>
      </c>
      <c r="D17" s="99">
        <v>5.5050332704390414E-2</v>
      </c>
      <c r="E17" s="99">
        <v>0.2970935759611984</v>
      </c>
      <c r="F17" s="99">
        <v>8.7648585639743182</v>
      </c>
      <c r="G17" s="99">
        <v>0.87153866230462773</v>
      </c>
      <c r="H17" s="99">
        <v>0.91898660645704966</v>
      </c>
      <c r="I17" s="99">
        <v>120.71606261743995</v>
      </c>
      <c r="J17" s="101">
        <v>22.181026826989452</v>
      </c>
    </row>
    <row r="18" spans="1:10" x14ac:dyDescent="0.2">
      <c r="A18" s="95">
        <v>13</v>
      </c>
      <c r="B18" s="99">
        <v>5.5950151216644494E-3</v>
      </c>
      <c r="C18" s="99">
        <v>5.5950151216644494E-3</v>
      </c>
      <c r="D18" s="99">
        <v>1.6284162285378424E-2</v>
      </c>
      <c r="E18" s="99">
        <v>0.48481293494793321</v>
      </c>
      <c r="F18" s="99">
        <v>8.8176496074490487</v>
      </c>
      <c r="G18" s="99">
        <v>0.89236541146830073</v>
      </c>
      <c r="H18" s="99">
        <v>0.90058354188080991</v>
      </c>
      <c r="I18" s="99">
        <v>148.39859314666012</v>
      </c>
      <c r="J18" s="101">
        <v>29.967374960262397</v>
      </c>
    </row>
    <row r="19" spans="1:10" x14ac:dyDescent="0.2">
      <c r="A19" s="95">
        <v>14</v>
      </c>
      <c r="B19" s="99">
        <v>2.3474702452941143E-2</v>
      </c>
      <c r="C19" s="99">
        <v>2.3474702452941143E-2</v>
      </c>
      <c r="D19" s="99">
        <v>3.6424242847844034E-2</v>
      </c>
      <c r="E19" s="99">
        <v>0.45042730332846709</v>
      </c>
      <c r="F19" s="99">
        <v>7.9701772083567803</v>
      </c>
      <c r="G19" s="99">
        <v>0.8913089031122029</v>
      </c>
      <c r="H19" s="99">
        <v>0.88187849975893218</v>
      </c>
      <c r="I19" s="99">
        <v>124.65362680696052</v>
      </c>
      <c r="J19" s="101">
        <v>20.513534098479106</v>
      </c>
    </row>
    <row r="20" spans="1:10" x14ac:dyDescent="0.2">
      <c r="A20" s="95">
        <v>15</v>
      </c>
      <c r="B20" s="99">
        <v>8.2637629383204292E-3</v>
      </c>
      <c r="C20" s="99">
        <v>8.2637629383204292E-3</v>
      </c>
      <c r="D20" s="99">
        <v>3.1756778082006429E-2</v>
      </c>
      <c r="E20" s="99">
        <v>0.53955379684058036</v>
      </c>
      <c r="F20" s="99">
        <v>10.157161519755752</v>
      </c>
      <c r="G20" s="99">
        <v>0.92273074121755505</v>
      </c>
      <c r="H20" s="99">
        <v>0.92633822516078723</v>
      </c>
      <c r="I20" s="99">
        <v>153.66542271045068</v>
      </c>
      <c r="J20" s="101">
        <v>26.710922928156268</v>
      </c>
    </row>
    <row r="21" spans="1:10" x14ac:dyDescent="0.2">
      <c r="A21" s="95">
        <v>16</v>
      </c>
      <c r="B21" s="99">
        <v>1.8106913166994244E-3</v>
      </c>
      <c r="C21" s="99">
        <v>1.8106913166994244E-3</v>
      </c>
      <c r="D21" s="99">
        <v>3.504274841732568E-2</v>
      </c>
      <c r="E21" s="99">
        <v>0.46449934706728491</v>
      </c>
      <c r="F21" s="99">
        <v>6.4516764111117944</v>
      </c>
      <c r="G21" s="99">
        <v>0.84721005520185</v>
      </c>
      <c r="H21" s="99">
        <v>0.92498489205326628</v>
      </c>
      <c r="I21" s="99">
        <v>73.815994245978416</v>
      </c>
      <c r="J21" s="101">
        <v>29.26614513470799</v>
      </c>
    </row>
    <row r="22" spans="1:10" x14ac:dyDescent="0.2">
      <c r="A22" s="95">
        <v>17</v>
      </c>
      <c r="B22" s="99">
        <v>2.3087748834673461E-2</v>
      </c>
      <c r="C22" s="99">
        <v>2.3087748834673461E-2</v>
      </c>
      <c r="D22" s="99">
        <v>5.1288825013324435E-2</v>
      </c>
      <c r="E22" s="99">
        <v>0.46099589998515533</v>
      </c>
      <c r="F22" s="99">
        <v>10.467064756465211</v>
      </c>
      <c r="G22" s="99">
        <v>0.888692602136677</v>
      </c>
      <c r="H22" s="99">
        <v>0.93449031251511527</v>
      </c>
      <c r="I22" s="99">
        <v>68.030467195843343</v>
      </c>
      <c r="J22" s="101">
        <v>21.680670757163828</v>
      </c>
    </row>
    <row r="23" spans="1:10" x14ac:dyDescent="0.2">
      <c r="A23" s="95">
        <v>18</v>
      </c>
      <c r="B23" s="99">
        <v>7.7285254509914525E-3</v>
      </c>
      <c r="C23" s="99">
        <v>7.7285254509914525E-3</v>
      </c>
      <c r="D23" s="99">
        <v>5.7024666593942563E-2</v>
      </c>
      <c r="E23" s="99">
        <v>0.58236113678032819</v>
      </c>
      <c r="F23" s="99">
        <v>7.4903840804694486</v>
      </c>
      <c r="G23" s="99">
        <v>0.87680168313295215</v>
      </c>
      <c r="H23" s="99">
        <v>0.95096348733036962</v>
      </c>
      <c r="I23" s="99">
        <v>68.182048345596399</v>
      </c>
      <c r="J23" s="101">
        <v>25.749598927887618</v>
      </c>
    </row>
    <row r="24" spans="1:10" x14ac:dyDescent="0.2">
      <c r="A24" s="95">
        <v>19</v>
      </c>
      <c r="B24" s="99">
        <v>4.30179923045976E-3</v>
      </c>
      <c r="C24" s="99">
        <v>4.30179923045976E-3</v>
      </c>
      <c r="D24" s="99">
        <v>3.1941744785132377E-2</v>
      </c>
      <c r="E24" s="99">
        <v>0.36961204812480153</v>
      </c>
      <c r="F24" s="99">
        <v>9.8138387276820005</v>
      </c>
      <c r="G24" s="99">
        <v>0.90365067137951138</v>
      </c>
      <c r="H24" s="99">
        <v>0.88953573635293526</v>
      </c>
      <c r="I24" s="99">
        <v>67.489251941951821</v>
      </c>
      <c r="J24" s="101">
        <v>31.119345499865585</v>
      </c>
    </row>
    <row r="25" spans="1:10" x14ac:dyDescent="0.2">
      <c r="A25" s="95">
        <v>20</v>
      </c>
      <c r="B25" s="99">
        <v>8.0965098633152266E-3</v>
      </c>
      <c r="C25" s="99">
        <v>8.0965098633152266E-3</v>
      </c>
      <c r="D25" s="99">
        <v>5.5413650526292879E-2</v>
      </c>
      <c r="E25" s="99">
        <v>0.5988558031628487</v>
      </c>
      <c r="F25" s="99">
        <v>9.6774903522141962</v>
      </c>
      <c r="G25" s="99">
        <v>0.8852575365425277</v>
      </c>
      <c r="H25" s="99">
        <v>0.89172771855718891</v>
      </c>
      <c r="I25" s="99">
        <v>72.413936469319879</v>
      </c>
      <c r="J25" s="101">
        <v>26.563035634030161</v>
      </c>
    </row>
    <row r="26" spans="1:10" x14ac:dyDescent="0.2">
      <c r="A26" s="95">
        <v>21</v>
      </c>
      <c r="B26" s="99">
        <v>8.5651762911172495E-4</v>
      </c>
      <c r="C26" s="99">
        <v>8.5651762911172495E-4</v>
      </c>
      <c r="D26" s="99">
        <v>4.4760410938296233E-2</v>
      </c>
      <c r="E26" s="99">
        <v>0.58265866082631546</v>
      </c>
      <c r="F26" s="99">
        <v>11.659108486772222</v>
      </c>
      <c r="G26" s="99">
        <v>0.90784299459216955</v>
      </c>
      <c r="H26" s="99">
        <v>0.8894477659181389</v>
      </c>
      <c r="I26" s="99">
        <v>132.37112966136081</v>
      </c>
      <c r="J26" s="101">
        <v>28.842271120868737</v>
      </c>
    </row>
    <row r="27" spans="1:10" x14ac:dyDescent="0.2">
      <c r="A27" s="95">
        <v>22</v>
      </c>
      <c r="B27" s="99">
        <v>4.7624025092199663E-3</v>
      </c>
      <c r="C27" s="99">
        <v>4.7624025092199663E-3</v>
      </c>
      <c r="D27" s="99">
        <v>3.995032937431383E-2</v>
      </c>
      <c r="E27" s="99">
        <v>0.53793976309960234</v>
      </c>
      <c r="F27" s="99">
        <v>11.220983585210718</v>
      </c>
      <c r="G27" s="99">
        <v>0.94693763367651773</v>
      </c>
      <c r="H27" s="99">
        <v>0.87961215753486877</v>
      </c>
      <c r="I27" s="99">
        <v>153.3946280673035</v>
      </c>
      <c r="J27" s="101">
        <v>26.646428652590199</v>
      </c>
    </row>
    <row r="28" spans="1:10" x14ac:dyDescent="0.2">
      <c r="A28" s="95">
        <v>23</v>
      </c>
      <c r="B28" s="99">
        <v>4.4309095598726762E-3</v>
      </c>
      <c r="C28" s="99">
        <v>4.4309095598726762E-3</v>
      </c>
      <c r="D28" s="99">
        <v>4.0494306025474255E-2</v>
      </c>
      <c r="E28" s="99">
        <v>0.48312548513606346</v>
      </c>
      <c r="F28" s="99">
        <v>7.9047547194348091</v>
      </c>
      <c r="G28" s="99">
        <v>0.88578223070568896</v>
      </c>
      <c r="H28" s="99">
        <v>0.89898210448445959</v>
      </c>
      <c r="I28" s="99">
        <v>104.85267573484303</v>
      </c>
      <c r="J28" s="101">
        <v>26.360862120774701</v>
      </c>
    </row>
    <row r="29" spans="1:10" x14ac:dyDescent="0.2">
      <c r="A29" s="95">
        <v>24</v>
      </c>
      <c r="B29" s="99">
        <v>4.841702104938804E-3</v>
      </c>
      <c r="C29" s="99">
        <v>4.841702104938804E-3</v>
      </c>
      <c r="D29" s="99">
        <v>2.4621469207858997E-2</v>
      </c>
      <c r="E29" s="99">
        <v>0.53313371291798017</v>
      </c>
      <c r="F29" s="99">
        <v>7.5810939540414299</v>
      </c>
      <c r="G29" s="99">
        <v>0.96133920262237493</v>
      </c>
      <c r="H29" s="99">
        <v>0.90064948842659576</v>
      </c>
      <c r="I29" s="99">
        <v>114.18362273804617</v>
      </c>
      <c r="J29" s="101">
        <v>30.241860040133673</v>
      </c>
    </row>
    <row r="30" spans="1:10" x14ac:dyDescent="0.2">
      <c r="A30" s="95">
        <v>25</v>
      </c>
      <c r="B30" s="99">
        <v>1.6254248252732029E-2</v>
      </c>
      <c r="C30" s="99">
        <v>1.6254248252732029E-2</v>
      </c>
      <c r="D30" s="99">
        <v>5.4820534709608904E-2</v>
      </c>
      <c r="E30" s="99">
        <v>0.41923099918266005</v>
      </c>
      <c r="F30" s="99">
        <v>11.756321510285055</v>
      </c>
      <c r="G30" s="99">
        <v>0.90793248948818339</v>
      </c>
      <c r="H30" s="99">
        <v>0.95950968781520718</v>
      </c>
      <c r="I30" s="99">
        <v>86.502749927567265</v>
      </c>
      <c r="J30" s="101">
        <v>23.772998006395909</v>
      </c>
    </row>
    <row r="31" spans="1:10" x14ac:dyDescent="0.2">
      <c r="A31" s="95">
        <v>26</v>
      </c>
      <c r="B31" s="99">
        <v>8.1114707301309652E-3</v>
      </c>
      <c r="C31" s="99">
        <v>8.1114707301309652E-3</v>
      </c>
      <c r="D31" s="99">
        <v>7.2324884058945105E-2</v>
      </c>
      <c r="E31" s="99">
        <v>0.52198549701771302</v>
      </c>
      <c r="F31" s="99">
        <v>11.738859434441123</v>
      </c>
      <c r="G31" s="99">
        <v>0.88575273424320533</v>
      </c>
      <c r="H31" s="99">
        <v>0.86037550253084905</v>
      </c>
      <c r="I31" s="99">
        <v>60.539905269029468</v>
      </c>
      <c r="J31" s="101">
        <v>26.751720779116141</v>
      </c>
    </row>
    <row r="32" spans="1:10" x14ac:dyDescent="0.2">
      <c r="A32" s="95">
        <v>27</v>
      </c>
      <c r="B32" s="99">
        <v>5.9651349783523466E-3</v>
      </c>
      <c r="C32" s="99">
        <v>5.9651349783523466E-3</v>
      </c>
      <c r="D32" s="99">
        <v>4.8506649088188913E-2</v>
      </c>
      <c r="E32" s="99">
        <v>0.4253424706124026</v>
      </c>
      <c r="F32" s="99">
        <v>12.703049338356294</v>
      </c>
      <c r="G32" s="99">
        <v>0.84238420804611913</v>
      </c>
      <c r="H32" s="99">
        <v>0.92948996023083752</v>
      </c>
      <c r="I32" s="99">
        <v>125.36970846962278</v>
      </c>
      <c r="J32" s="101">
        <v>25.634458567645254</v>
      </c>
    </row>
    <row r="33" spans="1:10" x14ac:dyDescent="0.2">
      <c r="A33" s="95">
        <v>28</v>
      </c>
      <c r="B33" s="99">
        <v>5.6473154300902637E-3</v>
      </c>
      <c r="C33" s="99">
        <v>5.6473154300902637E-3</v>
      </c>
      <c r="D33" s="99">
        <v>3.7368977956363424E-2</v>
      </c>
      <c r="E33" s="99">
        <v>0.676731562752523</v>
      </c>
      <c r="F33" s="99">
        <v>9.4755936340201146</v>
      </c>
      <c r="G33" s="99">
        <v>0.91407276043524943</v>
      </c>
      <c r="H33" s="99">
        <v>0.9278553449681104</v>
      </c>
      <c r="I33" s="99">
        <v>108.30230820236392</v>
      </c>
      <c r="J33" s="101">
        <v>28.557105413300114</v>
      </c>
    </row>
    <row r="34" spans="1:10" x14ac:dyDescent="0.2">
      <c r="A34" s="95">
        <v>29</v>
      </c>
      <c r="B34" s="99">
        <v>2.8597526831195208E-2</v>
      </c>
      <c r="C34" s="99">
        <v>2.8597526831195208E-2</v>
      </c>
      <c r="D34" s="99">
        <v>8.9163484683111416E-2</v>
      </c>
      <c r="E34" s="99">
        <v>0.59376503113976631</v>
      </c>
      <c r="F34" s="99">
        <v>12.984520958486602</v>
      </c>
      <c r="G34" s="99">
        <v>0.94938019184276645</v>
      </c>
      <c r="H34" s="99">
        <v>0.9295394924770688</v>
      </c>
      <c r="I34" s="99">
        <v>87.789503083992614</v>
      </c>
      <c r="J34" s="101">
        <v>17.218493687979265</v>
      </c>
    </row>
    <row r="35" spans="1:10" x14ac:dyDescent="0.2">
      <c r="A35" s="95">
        <v>30</v>
      </c>
      <c r="B35" s="99">
        <v>1.5184675252511511E-3</v>
      </c>
      <c r="C35" s="99">
        <v>1.5184675252511511E-3</v>
      </c>
      <c r="D35" s="99">
        <v>4.7197099108968521E-2</v>
      </c>
      <c r="E35" s="99">
        <v>0.43336647047195748</v>
      </c>
      <c r="F35" s="99">
        <v>6.7015078009638547</v>
      </c>
      <c r="G35" s="99">
        <v>0.91987326565803618</v>
      </c>
      <c r="H35" s="99">
        <v>0.85358493628899323</v>
      </c>
      <c r="I35" s="99">
        <v>74.290279039219556</v>
      </c>
      <c r="J35" s="101">
        <v>28.474524772511529</v>
      </c>
    </row>
    <row r="36" spans="1:10" x14ac:dyDescent="0.2">
      <c r="A36" s="95">
        <v>31</v>
      </c>
      <c r="B36" s="99">
        <v>1.0916464796332681E-2</v>
      </c>
      <c r="C36" s="99">
        <v>1.0916464796332681E-2</v>
      </c>
      <c r="D36" s="99">
        <v>3.8434995271921207E-2</v>
      </c>
      <c r="E36" s="99">
        <v>0.29559487540074103</v>
      </c>
      <c r="F36" s="99">
        <v>12.354264444215737</v>
      </c>
      <c r="G36" s="99">
        <v>0.83385883248613302</v>
      </c>
      <c r="H36" s="99">
        <v>0.83153741026463812</v>
      </c>
      <c r="I36" s="99">
        <v>84.747346949824191</v>
      </c>
      <c r="J36" s="101">
        <v>25.083178131464379</v>
      </c>
    </row>
    <row r="37" spans="1:10" x14ac:dyDescent="0.2">
      <c r="A37" s="95">
        <v>32</v>
      </c>
      <c r="B37" s="99">
        <v>9.245278266454382E-3</v>
      </c>
      <c r="C37" s="99">
        <v>9.245278266454382E-3</v>
      </c>
      <c r="D37" s="99">
        <v>2.8045419733623352E-2</v>
      </c>
      <c r="E37" s="99">
        <v>0.36289165500470766</v>
      </c>
      <c r="F37" s="99">
        <v>8.2570034201019027</v>
      </c>
      <c r="G37" s="99">
        <v>0.9183504300219113</v>
      </c>
      <c r="H37" s="99">
        <v>0.85514482751345844</v>
      </c>
      <c r="I37" s="99">
        <v>73.66239382223948</v>
      </c>
      <c r="J37" s="101">
        <v>28.420994524552778</v>
      </c>
    </row>
    <row r="38" spans="1:10" x14ac:dyDescent="0.2">
      <c r="A38" s="95">
        <v>33</v>
      </c>
      <c r="B38" s="99">
        <v>2.9549763290245118E-4</v>
      </c>
      <c r="C38" s="99">
        <v>2.9549763290245118E-4</v>
      </c>
      <c r="D38" s="99">
        <v>7.2146846735758774E-2</v>
      </c>
      <c r="E38" s="99">
        <v>0.50373344911959328</v>
      </c>
      <c r="F38" s="99">
        <v>9.556888278904383</v>
      </c>
      <c r="G38" s="99">
        <v>0.87866897330295746</v>
      </c>
      <c r="H38" s="99">
        <v>0.89009526900283531</v>
      </c>
      <c r="I38" s="99">
        <v>54.817776447808761</v>
      </c>
      <c r="J38" s="101">
        <v>30.799615489597361</v>
      </c>
    </row>
    <row r="39" spans="1:10" x14ac:dyDescent="0.2">
      <c r="A39" s="95">
        <v>34</v>
      </c>
      <c r="B39" s="99">
        <v>2.220905781101723E-2</v>
      </c>
      <c r="C39" s="99">
        <v>2.220905781101723E-2</v>
      </c>
      <c r="D39" s="99">
        <v>2.5537428776702224E-2</v>
      </c>
      <c r="E39" s="99">
        <v>0.2788053067052656</v>
      </c>
      <c r="F39" s="99">
        <v>9.1269673384791261</v>
      </c>
      <c r="G39" s="99">
        <v>0.93899720891076388</v>
      </c>
      <c r="H39" s="99">
        <v>0.91929832585107984</v>
      </c>
      <c r="I39" s="99">
        <v>81.077584616356575</v>
      </c>
      <c r="J39" s="101">
        <v>24.563069375877472</v>
      </c>
    </row>
    <row r="40" spans="1:10" x14ac:dyDescent="0.2">
      <c r="A40" s="95">
        <v>35</v>
      </c>
      <c r="B40" s="99">
        <v>1.3632375748575565E-2</v>
      </c>
      <c r="C40" s="99">
        <v>1.3632375748575565E-2</v>
      </c>
      <c r="D40" s="99">
        <v>3.2314308608095192E-2</v>
      </c>
      <c r="E40" s="99">
        <v>0.63889176535202108</v>
      </c>
      <c r="F40" s="99">
        <v>8.6721202848431034</v>
      </c>
      <c r="G40" s="99">
        <v>0.94114127133951586</v>
      </c>
      <c r="H40" s="99">
        <v>0.92585051657737671</v>
      </c>
      <c r="I40" s="99">
        <v>59.833900342214285</v>
      </c>
      <c r="J40" s="101">
        <v>27.885417713672027</v>
      </c>
    </row>
    <row r="41" spans="1:10" x14ac:dyDescent="0.2">
      <c r="A41" s="95">
        <v>36</v>
      </c>
      <c r="B41" s="99">
        <v>8.4513961991979913E-3</v>
      </c>
      <c r="C41" s="99">
        <v>8.4513961991979913E-3</v>
      </c>
      <c r="D41" s="99">
        <v>7.0300335737241482E-2</v>
      </c>
      <c r="E41" s="99">
        <v>0.48169769156884967</v>
      </c>
      <c r="F41" s="99">
        <v>11.495092754952401</v>
      </c>
      <c r="G41" s="99">
        <v>0.90176369030468184</v>
      </c>
      <c r="H41" s="99">
        <v>0.94974251483667416</v>
      </c>
      <c r="I41" s="99">
        <v>45.913947047754043</v>
      </c>
      <c r="J41" s="101">
        <v>28.50478427378296</v>
      </c>
    </row>
    <row r="42" spans="1:10" x14ac:dyDescent="0.2">
      <c r="A42" s="95">
        <v>37</v>
      </c>
      <c r="B42" s="99">
        <v>1.0406652922410831E-2</v>
      </c>
      <c r="C42" s="99">
        <v>1.0406652922410831E-2</v>
      </c>
      <c r="D42" s="99">
        <v>4.9933926899445757E-2</v>
      </c>
      <c r="E42" s="99">
        <v>0.38333958937140411</v>
      </c>
      <c r="F42" s="99">
        <v>11.622744680758593</v>
      </c>
      <c r="G42" s="99">
        <v>0.87519317438220956</v>
      </c>
      <c r="H42" s="99">
        <v>0.93896900293199559</v>
      </c>
      <c r="I42" s="99">
        <v>73.67038980341917</v>
      </c>
      <c r="J42" s="101">
        <v>26.29903853428176</v>
      </c>
    </row>
    <row r="43" spans="1:10" x14ac:dyDescent="0.2">
      <c r="A43" s="95">
        <v>38</v>
      </c>
      <c r="B43" s="99">
        <v>3.220509398642758E-3</v>
      </c>
      <c r="C43" s="99">
        <v>3.220509398642758E-3</v>
      </c>
      <c r="D43" s="99">
        <v>5.2907554374291399E-2</v>
      </c>
      <c r="E43" s="99">
        <v>0.45665320293646722</v>
      </c>
      <c r="F43" s="99">
        <v>6.409027146041935</v>
      </c>
      <c r="G43" s="99">
        <v>0.87559112178152188</v>
      </c>
      <c r="H43" s="99">
        <v>0.91736779676740499</v>
      </c>
      <c r="I43" s="99">
        <v>72.0783704467745</v>
      </c>
      <c r="J43" s="101">
        <v>26.18280853655747</v>
      </c>
    </row>
    <row r="44" spans="1:10" x14ac:dyDescent="0.2">
      <c r="A44" s="95">
        <v>39</v>
      </c>
      <c r="B44" s="99">
        <v>6.2490391761896493E-3</v>
      </c>
      <c r="C44" s="99">
        <v>6.2490391761896493E-3</v>
      </c>
      <c r="D44" s="99">
        <v>4.2933957439082196E-2</v>
      </c>
      <c r="E44" s="99">
        <v>0.53857574635337591</v>
      </c>
      <c r="F44" s="99">
        <v>7.5771247781951647</v>
      </c>
      <c r="G44" s="99">
        <v>0.88499790122077049</v>
      </c>
      <c r="H44" s="99">
        <v>0.91587126515341921</v>
      </c>
      <c r="I44" s="99">
        <v>98.55468772202498</v>
      </c>
      <c r="J44" s="101">
        <v>25.553170805318818</v>
      </c>
    </row>
    <row r="45" spans="1:10" x14ac:dyDescent="0.2">
      <c r="A45" s="95">
        <v>40</v>
      </c>
      <c r="B45" s="99">
        <v>3.7666855777283934E-3</v>
      </c>
      <c r="C45" s="99">
        <v>3.7666855777283934E-3</v>
      </c>
      <c r="D45" s="99">
        <v>4.7417777233878855E-2</v>
      </c>
      <c r="E45" s="99">
        <v>0.4431283604077994</v>
      </c>
      <c r="F45" s="99">
        <v>12.479719932618252</v>
      </c>
      <c r="G45" s="99">
        <v>0.90478212791280344</v>
      </c>
      <c r="H45" s="99">
        <v>0.90589451193900183</v>
      </c>
      <c r="I45" s="99">
        <v>59.52602027718212</v>
      </c>
      <c r="J45" s="101">
        <v>31.527753556657206</v>
      </c>
    </row>
    <row r="46" spans="1:10" x14ac:dyDescent="0.2">
      <c r="A46" s="95">
        <v>41</v>
      </c>
      <c r="B46" s="99">
        <v>1.383419452248974E-4</v>
      </c>
      <c r="C46" s="99">
        <v>1.383419452248974E-4</v>
      </c>
      <c r="D46" s="99">
        <v>2.6264088342676618E-2</v>
      </c>
      <c r="E46" s="99">
        <v>0.67634666755347961</v>
      </c>
      <c r="F46" s="99">
        <v>9.3230672195711506</v>
      </c>
      <c r="G46" s="99">
        <v>0.9092263460222817</v>
      </c>
      <c r="H46" s="99">
        <v>0.89803111598232044</v>
      </c>
      <c r="I46" s="99">
        <v>127.03247722198115</v>
      </c>
      <c r="J46" s="101">
        <v>31.7916530269611</v>
      </c>
    </row>
    <row r="47" spans="1:10" x14ac:dyDescent="0.2">
      <c r="A47" s="95">
        <v>42</v>
      </c>
      <c r="B47" s="99">
        <v>6.1863379887082195E-3</v>
      </c>
      <c r="C47" s="99">
        <v>6.1863379887082195E-3</v>
      </c>
      <c r="D47" s="99">
        <v>3.3946483128608408E-2</v>
      </c>
      <c r="E47" s="99">
        <v>0.4476144583542635</v>
      </c>
      <c r="F47" s="99">
        <v>12.470586558041099</v>
      </c>
      <c r="G47" s="99">
        <v>0.879293025728491</v>
      </c>
      <c r="H47" s="99">
        <v>0.94697046901141757</v>
      </c>
      <c r="I47" s="99">
        <v>148.24308988498674</v>
      </c>
      <c r="J47" s="101">
        <v>27.837349867509584</v>
      </c>
    </row>
    <row r="48" spans="1:10" x14ac:dyDescent="0.2">
      <c r="A48" s="95">
        <v>43</v>
      </c>
      <c r="B48" s="99">
        <v>2.4308460652112784E-2</v>
      </c>
      <c r="C48" s="99">
        <v>2.4308460652112784E-2</v>
      </c>
      <c r="D48" s="99">
        <v>6.8665136447658703E-2</v>
      </c>
      <c r="E48" s="99">
        <v>0.50952618499213331</v>
      </c>
      <c r="F48" s="99">
        <v>9.864877497458501</v>
      </c>
      <c r="G48" s="99">
        <v>0.92212901642194944</v>
      </c>
      <c r="H48" s="99">
        <v>0.92101876711754593</v>
      </c>
      <c r="I48" s="99">
        <v>38.078196865759949</v>
      </c>
      <c r="J48" s="101">
        <v>22.216168584387162</v>
      </c>
    </row>
    <row r="49" spans="1:10" x14ac:dyDescent="0.2">
      <c r="A49" s="95">
        <v>44</v>
      </c>
      <c r="B49" s="99">
        <v>2.3655610697179363E-2</v>
      </c>
      <c r="C49" s="99">
        <v>2.3655610697179363E-2</v>
      </c>
      <c r="D49" s="99">
        <v>4.8835720693829909E-2</v>
      </c>
      <c r="E49" s="99">
        <v>0.71273812735316699</v>
      </c>
      <c r="F49" s="99">
        <v>13.949018638191886</v>
      </c>
      <c r="G49" s="99">
        <v>0.90021018346022375</v>
      </c>
      <c r="H49" s="99">
        <v>0.90490114035861136</v>
      </c>
      <c r="I49" s="99">
        <v>94.952470452728164</v>
      </c>
      <c r="J49" s="101">
        <v>21.670019505417063</v>
      </c>
    </row>
    <row r="50" spans="1:10" x14ac:dyDescent="0.2">
      <c r="A50" s="95">
        <v>45</v>
      </c>
      <c r="B50" s="99">
        <v>4.5156717646706812E-2</v>
      </c>
      <c r="C50" s="99">
        <v>4.5156717646706812E-2</v>
      </c>
      <c r="D50" s="99">
        <v>2.6288611000081712E-2</v>
      </c>
      <c r="E50" s="99">
        <v>0.49280596083591977</v>
      </c>
      <c r="F50" s="99">
        <v>8.2771668516004038</v>
      </c>
      <c r="G50" s="99">
        <v>0.91005363353767132</v>
      </c>
      <c r="H50" s="99">
        <v>0.93465248253355671</v>
      </c>
      <c r="I50" s="99">
        <v>100.33080456022417</v>
      </c>
      <c r="J50" s="101">
        <v>19.53377409802561</v>
      </c>
    </row>
    <row r="51" spans="1:10" x14ac:dyDescent="0.2">
      <c r="A51" s="95">
        <v>46</v>
      </c>
      <c r="B51" s="99">
        <v>7.8523737192655041E-3</v>
      </c>
      <c r="C51" s="99">
        <v>7.8523737192655041E-3</v>
      </c>
      <c r="D51" s="99">
        <v>5.7721858711724305E-2</v>
      </c>
      <c r="E51" s="99">
        <v>0.45444752556254736</v>
      </c>
      <c r="F51" s="99">
        <v>12.772682573025612</v>
      </c>
      <c r="G51" s="99">
        <v>0.86967062267314565</v>
      </c>
      <c r="H51" s="99">
        <v>0.91110313515936658</v>
      </c>
      <c r="I51" s="99">
        <v>136.86663130611868</v>
      </c>
      <c r="J51" s="101">
        <v>22.96648949474735</v>
      </c>
    </row>
    <row r="52" spans="1:10" x14ac:dyDescent="0.2">
      <c r="A52" s="95">
        <v>47</v>
      </c>
      <c r="B52" s="99">
        <v>2.5253917097309397E-2</v>
      </c>
      <c r="C52" s="99">
        <v>2.5253917097309397E-2</v>
      </c>
      <c r="D52" s="99">
        <v>2.9213200619065811E-2</v>
      </c>
      <c r="E52" s="99">
        <v>0.54800787410482055</v>
      </c>
      <c r="F52" s="99">
        <v>7.9486083486917254</v>
      </c>
      <c r="G52" s="99">
        <v>0.88030119365595427</v>
      </c>
      <c r="H52" s="99">
        <v>0.91892678574189168</v>
      </c>
      <c r="I52" s="99">
        <v>66.951784949014836</v>
      </c>
      <c r="J52" s="101">
        <v>22.287885448911041</v>
      </c>
    </row>
    <row r="53" spans="1:10" x14ac:dyDescent="0.2">
      <c r="A53" s="95">
        <v>48</v>
      </c>
      <c r="B53" s="99">
        <v>1.7265781714834838E-2</v>
      </c>
      <c r="C53" s="99">
        <v>1.7265781714834838E-2</v>
      </c>
      <c r="D53" s="99">
        <v>6.6509209265403268E-2</v>
      </c>
      <c r="E53" s="99">
        <v>0.4452665118459192</v>
      </c>
      <c r="F53" s="99">
        <v>8.3470852179704078</v>
      </c>
      <c r="G53" s="99">
        <v>0.87073913319881646</v>
      </c>
      <c r="H53" s="99">
        <v>0.9436338842453541</v>
      </c>
      <c r="I53" s="99">
        <v>51.195471825923995</v>
      </c>
      <c r="J53" s="101">
        <v>22.483867397955123</v>
      </c>
    </row>
    <row r="54" spans="1:10" x14ac:dyDescent="0.2">
      <c r="A54" s="95">
        <v>49</v>
      </c>
      <c r="B54" s="99">
        <v>2.5418909587527207E-4</v>
      </c>
      <c r="C54" s="99">
        <v>2.5418909587527207E-4</v>
      </c>
      <c r="D54" s="99">
        <v>5.6527966805817065E-2</v>
      </c>
      <c r="E54" s="99">
        <v>0.56528062495135767</v>
      </c>
      <c r="F54" s="99">
        <v>8.7339224553544703</v>
      </c>
      <c r="G54" s="99">
        <v>0.86862179821944707</v>
      </c>
      <c r="H54" s="99">
        <v>0.90709365083036841</v>
      </c>
      <c r="I54" s="99">
        <v>75.84628973462236</v>
      </c>
      <c r="J54" s="101">
        <v>29.314713637889348</v>
      </c>
    </row>
    <row r="55" spans="1:10" x14ac:dyDescent="0.2">
      <c r="A55" s="95">
        <v>50</v>
      </c>
      <c r="B55" s="99">
        <v>1.1160303784768177E-2</v>
      </c>
      <c r="C55" s="99">
        <v>1.1160303784768177E-2</v>
      </c>
      <c r="D55" s="99">
        <v>9.4397771956292287E-2</v>
      </c>
      <c r="E55" s="99">
        <v>0.47750977287930396</v>
      </c>
      <c r="F55" s="99">
        <v>7.6584733040146222</v>
      </c>
      <c r="G55" s="99">
        <v>0.9193970799250949</v>
      </c>
      <c r="H55" s="99">
        <v>0.89346419830973689</v>
      </c>
      <c r="I55" s="99">
        <v>26.531026800110542</v>
      </c>
      <c r="J55" s="101">
        <v>27.788010253649897</v>
      </c>
    </row>
    <row r="56" spans="1:10" x14ac:dyDescent="0.2">
      <c r="A56" s="95">
        <v>51</v>
      </c>
      <c r="B56" s="99">
        <v>2.1741086688852971E-3</v>
      </c>
      <c r="C56" s="99">
        <v>2.1741086688852971E-3</v>
      </c>
      <c r="D56" s="99">
        <v>3.2423388053797179E-2</v>
      </c>
      <c r="E56" s="99">
        <v>0.36993880462574269</v>
      </c>
      <c r="F56" s="99">
        <v>9.3619214861301394</v>
      </c>
      <c r="G56" s="99">
        <v>0.91344615169276411</v>
      </c>
      <c r="H56" s="99">
        <v>0.85697340704678804</v>
      </c>
      <c r="I56" s="99">
        <v>94.499382042978908</v>
      </c>
      <c r="J56" s="101">
        <v>30.730684956159816</v>
      </c>
    </row>
    <row r="57" spans="1:10" x14ac:dyDescent="0.2">
      <c r="A57" s="95">
        <v>52</v>
      </c>
      <c r="B57" s="99">
        <v>1.4640523190436294E-2</v>
      </c>
      <c r="C57" s="99">
        <v>1.4640523190436294E-2</v>
      </c>
      <c r="D57" s="99">
        <v>2.0664857902880824E-2</v>
      </c>
      <c r="E57" s="99">
        <v>0.41727648019851871</v>
      </c>
      <c r="F57" s="99">
        <v>11.162357824036599</v>
      </c>
      <c r="G57" s="99">
        <v>0.88203687401776476</v>
      </c>
      <c r="H57" s="99">
        <v>0.94604005585271667</v>
      </c>
      <c r="I57" s="99">
        <v>84.545795155261175</v>
      </c>
      <c r="J57" s="101">
        <v>26.813673687093655</v>
      </c>
    </row>
    <row r="58" spans="1:10" x14ac:dyDescent="0.2">
      <c r="A58" s="95">
        <v>53</v>
      </c>
      <c r="B58" s="99">
        <v>3.4087450726594803E-2</v>
      </c>
      <c r="C58" s="99">
        <v>3.4087450726594803E-2</v>
      </c>
      <c r="D58" s="99">
        <v>2.9715855342537071E-2</v>
      </c>
      <c r="E58" s="99">
        <v>0.47374272144421858</v>
      </c>
      <c r="F58" s="99">
        <v>10.312610321633843</v>
      </c>
      <c r="G58" s="99">
        <v>0.88358858726588241</v>
      </c>
      <c r="H58" s="99">
        <v>0.88579866860113077</v>
      </c>
      <c r="I58" s="99">
        <v>150.93654254859828</v>
      </c>
      <c r="J58" s="101">
        <v>20.195620320353612</v>
      </c>
    </row>
    <row r="59" spans="1:10" x14ac:dyDescent="0.2">
      <c r="A59" s="95">
        <v>54</v>
      </c>
      <c r="B59" s="99">
        <v>1.6652113150403824E-2</v>
      </c>
      <c r="C59" s="99">
        <v>1.6652113150403824E-2</v>
      </c>
      <c r="D59" s="99">
        <v>6.2040697285793756E-2</v>
      </c>
      <c r="E59" s="99">
        <v>0.45440581965103277</v>
      </c>
      <c r="F59" s="99">
        <v>9.5559172997569437</v>
      </c>
      <c r="G59" s="99">
        <v>0.8980747207882287</v>
      </c>
      <c r="H59" s="99">
        <v>0.93689629471541469</v>
      </c>
      <c r="I59" s="99">
        <v>42.407745610273061</v>
      </c>
      <c r="J59" s="101">
        <v>24.602878433893661</v>
      </c>
    </row>
    <row r="60" spans="1:10" x14ac:dyDescent="0.2">
      <c r="A60" s="95">
        <v>55</v>
      </c>
      <c r="B60" s="99">
        <v>1.2754012500622469E-2</v>
      </c>
      <c r="C60" s="99">
        <v>1.2754012500622469E-2</v>
      </c>
      <c r="D60" s="99">
        <v>2.4252564616329735E-2</v>
      </c>
      <c r="E60" s="99">
        <v>0.52474978472809664</v>
      </c>
      <c r="F60" s="99">
        <v>9.0330540791085898</v>
      </c>
      <c r="G60" s="99">
        <v>0.90941642191842309</v>
      </c>
      <c r="H60" s="99">
        <v>0.90248929202802197</v>
      </c>
      <c r="I60" s="99">
        <v>77.685854706108046</v>
      </c>
      <c r="J60" s="101">
        <v>27.564606558866664</v>
      </c>
    </row>
    <row r="61" spans="1:10" x14ac:dyDescent="0.2">
      <c r="A61" s="95">
        <v>56</v>
      </c>
      <c r="B61" s="99">
        <v>1.618220167812523E-2</v>
      </c>
      <c r="C61" s="99">
        <v>1.618220167812523E-2</v>
      </c>
      <c r="D61" s="99">
        <v>2.3749761853728422E-2</v>
      </c>
      <c r="E61" s="99">
        <v>0.52795432727747804</v>
      </c>
      <c r="F61" s="99">
        <v>11.065449962453359</v>
      </c>
      <c r="G61" s="99">
        <v>0.89204767428133891</v>
      </c>
      <c r="H61" s="99">
        <v>0.89858558280759604</v>
      </c>
      <c r="I61" s="99">
        <v>100.81769147231222</v>
      </c>
      <c r="J61" s="101">
        <v>25.749381086875623</v>
      </c>
    </row>
    <row r="62" spans="1:10" x14ac:dyDescent="0.2">
      <c r="A62" s="95">
        <v>57</v>
      </c>
      <c r="B62" s="99">
        <v>3.1122187021343172E-3</v>
      </c>
      <c r="C62" s="99">
        <v>3.1122187021343172E-3</v>
      </c>
      <c r="D62" s="99">
        <v>5.9298016444679358E-2</v>
      </c>
      <c r="E62" s="99">
        <v>0.52016023532892586</v>
      </c>
      <c r="F62" s="99">
        <v>9.6022122884558563</v>
      </c>
      <c r="G62" s="99">
        <v>0.88117216146763055</v>
      </c>
      <c r="H62" s="99">
        <v>0.90889047000141443</v>
      </c>
      <c r="I62" s="99">
        <v>61.475991632442195</v>
      </c>
      <c r="J62" s="101">
        <v>29.58400688201472</v>
      </c>
    </row>
    <row r="63" spans="1:10" x14ac:dyDescent="0.2">
      <c r="A63" s="95">
        <v>58</v>
      </c>
      <c r="B63" s="99">
        <v>5.0192841464990062E-3</v>
      </c>
      <c r="C63" s="99">
        <v>5.0192841464990062E-3</v>
      </c>
      <c r="D63" s="99">
        <v>3.3354474472756544E-2</v>
      </c>
      <c r="E63" s="99">
        <v>0.47088437730543392</v>
      </c>
      <c r="F63" s="99">
        <v>12.334614857401212</v>
      </c>
      <c r="G63" s="99">
        <v>0.91304628392735321</v>
      </c>
      <c r="H63" s="99">
        <v>0.90506571777136502</v>
      </c>
      <c r="I63" s="99">
        <v>127.55247827445392</v>
      </c>
      <c r="J63" s="101">
        <v>29.427457635637378</v>
      </c>
    </row>
    <row r="64" spans="1:10" x14ac:dyDescent="0.2">
      <c r="A64" s="95">
        <v>59</v>
      </c>
      <c r="B64" s="99">
        <v>1.027742315033997E-2</v>
      </c>
      <c r="C64" s="99">
        <v>1.027742315033997E-2</v>
      </c>
      <c r="D64" s="99">
        <v>2.7784899449132195E-2</v>
      </c>
      <c r="E64" s="99">
        <v>0.49882851669370204</v>
      </c>
      <c r="F64" s="99">
        <v>10.515875177461087</v>
      </c>
      <c r="G64" s="99">
        <v>0.87903922093940412</v>
      </c>
      <c r="H64" s="99">
        <v>0.90608855554591305</v>
      </c>
      <c r="I64" s="99">
        <v>128.21480982358369</v>
      </c>
      <c r="J64" s="101">
        <v>26.743187925279166</v>
      </c>
    </row>
    <row r="65" spans="1:10" x14ac:dyDescent="0.2">
      <c r="A65" s="95">
        <v>60</v>
      </c>
      <c r="B65" s="99">
        <v>4.8244957162662007E-3</v>
      </c>
      <c r="C65" s="99">
        <v>4.8244957162662007E-3</v>
      </c>
      <c r="D65" s="99">
        <v>3.6723525981886232E-2</v>
      </c>
      <c r="E65" s="99">
        <v>0.29473318355378497</v>
      </c>
      <c r="F65" s="99">
        <v>11.275340127638046</v>
      </c>
      <c r="G65" s="99">
        <v>0.95384978830143674</v>
      </c>
      <c r="H65" s="99">
        <v>0.90363891835539922</v>
      </c>
      <c r="I65" s="99">
        <v>66.69403453338559</v>
      </c>
      <c r="J65" s="101">
        <v>32.253146378752703</v>
      </c>
    </row>
    <row r="66" spans="1:10" x14ac:dyDescent="0.2">
      <c r="A66" s="95">
        <v>61</v>
      </c>
      <c r="B66" s="99">
        <v>1.0955289496724863E-2</v>
      </c>
      <c r="C66" s="99">
        <v>1.0955289496724863E-2</v>
      </c>
      <c r="D66" s="99">
        <v>6.8831087126401735E-2</v>
      </c>
      <c r="E66" s="99">
        <v>0.40572936246825309</v>
      </c>
      <c r="F66" s="99">
        <v>9.8887869613457013</v>
      </c>
      <c r="G66" s="99">
        <v>0.93305444621730405</v>
      </c>
      <c r="H66" s="99">
        <v>0.88009542525565443</v>
      </c>
      <c r="I66" s="99">
        <v>69.939876478491612</v>
      </c>
      <c r="J66" s="101">
        <v>24.720252766805004</v>
      </c>
    </row>
    <row r="67" spans="1:10" x14ac:dyDescent="0.2">
      <c r="A67" s="95">
        <v>62</v>
      </c>
      <c r="B67" s="99">
        <v>7.706107684687824E-3</v>
      </c>
      <c r="C67" s="99">
        <v>7.706107684687824E-3</v>
      </c>
      <c r="D67" s="99">
        <v>5.0188379224515245E-2</v>
      </c>
      <c r="E67" s="99">
        <v>0.6015144174398368</v>
      </c>
      <c r="F67" s="99">
        <v>16.429737655882349</v>
      </c>
      <c r="G67" s="99">
        <v>0.90628663238222829</v>
      </c>
      <c r="H67" s="99">
        <v>0.92814763696107383</v>
      </c>
      <c r="I67" s="99">
        <v>119.93983646574733</v>
      </c>
      <c r="J67" s="101">
        <v>27.709167029290338</v>
      </c>
    </row>
    <row r="68" spans="1:10" x14ac:dyDescent="0.2">
      <c r="A68" s="95">
        <v>63</v>
      </c>
      <c r="B68" s="99">
        <v>1.6839563723182405E-2</v>
      </c>
      <c r="C68" s="99">
        <v>1.6839563723182405E-2</v>
      </c>
      <c r="D68" s="99">
        <v>3.742253447890078E-2</v>
      </c>
      <c r="E68" s="99">
        <v>0.48733559897066975</v>
      </c>
      <c r="F68" s="99">
        <v>8.3132096119362249</v>
      </c>
      <c r="G68" s="99">
        <v>0.84318714384700444</v>
      </c>
      <c r="H68" s="99">
        <v>0.86433629960955105</v>
      </c>
      <c r="I68" s="99">
        <v>47.119775671265174</v>
      </c>
      <c r="J68" s="101">
        <v>23.78893476937947</v>
      </c>
    </row>
    <row r="69" spans="1:10" x14ac:dyDescent="0.2">
      <c r="A69" s="95">
        <v>64</v>
      </c>
      <c r="B69" s="99">
        <v>3.9200505366995897E-3</v>
      </c>
      <c r="C69" s="99">
        <v>3.9200505366995897E-3</v>
      </c>
      <c r="D69" s="99">
        <v>3.1035166152035273E-2</v>
      </c>
      <c r="E69" s="99">
        <v>0.57864493248911963</v>
      </c>
      <c r="F69" s="99">
        <v>10.529071502547881</v>
      </c>
      <c r="G69" s="99">
        <v>0.94439014744651617</v>
      </c>
      <c r="H69" s="99">
        <v>0.92396184757181365</v>
      </c>
      <c r="I69" s="99">
        <v>150.64137115663323</v>
      </c>
      <c r="J69" s="101">
        <v>29.400372630397388</v>
      </c>
    </row>
    <row r="70" spans="1:10" x14ac:dyDescent="0.2">
      <c r="A70" s="95">
        <v>65</v>
      </c>
      <c r="B70" s="99">
        <v>1.6483119879983903E-3</v>
      </c>
      <c r="C70" s="99">
        <v>1.6483119879983903E-3</v>
      </c>
      <c r="D70" s="99">
        <v>2.6789918947315489E-2</v>
      </c>
      <c r="E70" s="99">
        <v>0.56206631672168506</v>
      </c>
      <c r="F70" s="99">
        <v>6.1371563787789354</v>
      </c>
      <c r="G70" s="99">
        <v>0.91186003218750011</v>
      </c>
      <c r="H70" s="99">
        <v>0.87632355158301123</v>
      </c>
      <c r="I70" s="99">
        <v>57.709735555106938</v>
      </c>
      <c r="J70" s="101">
        <v>32.882416828733511</v>
      </c>
    </row>
    <row r="71" spans="1:10" x14ac:dyDescent="0.2">
      <c r="A71" s="95">
        <v>66</v>
      </c>
      <c r="B71" s="99">
        <v>1.8387595081565733E-2</v>
      </c>
      <c r="C71" s="99">
        <v>1.8387595081565733E-2</v>
      </c>
      <c r="D71" s="99">
        <v>4.0464713986642482E-2</v>
      </c>
      <c r="E71" s="99">
        <v>0.43000609220953911</v>
      </c>
      <c r="F71" s="99">
        <v>9.4852365277264692</v>
      </c>
      <c r="G71" s="99">
        <v>0.87542805095551901</v>
      </c>
      <c r="H71" s="99">
        <v>0.89477414510790731</v>
      </c>
      <c r="I71" s="99">
        <v>82.88497012262529</v>
      </c>
      <c r="J71" s="101">
        <v>22.966010732729021</v>
      </c>
    </row>
    <row r="72" spans="1:10" x14ac:dyDescent="0.2">
      <c r="A72" s="95">
        <v>67</v>
      </c>
      <c r="B72" s="99">
        <v>1.151883681327881E-2</v>
      </c>
      <c r="C72" s="99">
        <v>1.151883681327881E-2</v>
      </c>
      <c r="D72" s="99">
        <v>8.3750740723037453E-2</v>
      </c>
      <c r="E72" s="99">
        <v>0.55475742773237613</v>
      </c>
      <c r="F72" s="99">
        <v>8.6842449974418141</v>
      </c>
      <c r="G72" s="99">
        <v>0.86489124777223847</v>
      </c>
      <c r="H72" s="99">
        <v>0.87646715894441496</v>
      </c>
      <c r="I72" s="99">
        <v>44.324250975687875</v>
      </c>
      <c r="J72" s="101">
        <v>24.480341595986669</v>
      </c>
    </row>
    <row r="73" spans="1:10" x14ac:dyDescent="0.2">
      <c r="A73" s="95">
        <v>68</v>
      </c>
      <c r="B73" s="99">
        <v>6.0836666380818319E-3</v>
      </c>
      <c r="C73" s="99">
        <v>6.0836666380818319E-3</v>
      </c>
      <c r="D73" s="99">
        <v>4.1158965037450819E-2</v>
      </c>
      <c r="E73" s="99">
        <v>0.45925646715506291</v>
      </c>
      <c r="F73" s="99">
        <v>9.4538025351474513</v>
      </c>
      <c r="G73" s="99">
        <v>0.87281247750346558</v>
      </c>
      <c r="H73" s="99">
        <v>0.90232414276626294</v>
      </c>
      <c r="I73" s="99">
        <v>110.20893120271943</v>
      </c>
      <c r="J73" s="101">
        <v>26.220662766189921</v>
      </c>
    </row>
    <row r="74" spans="1:10" x14ac:dyDescent="0.2">
      <c r="A74" s="95">
        <v>69</v>
      </c>
      <c r="B74" s="99">
        <v>3.2338513414782782E-3</v>
      </c>
      <c r="C74" s="99">
        <v>3.2338513414782782E-3</v>
      </c>
      <c r="D74" s="99">
        <v>2.9338600164380196E-2</v>
      </c>
      <c r="E74" s="99">
        <v>0.46325394159804512</v>
      </c>
      <c r="F74" s="99">
        <v>10.526951851426832</v>
      </c>
      <c r="G74" s="99">
        <v>0.90384462944930744</v>
      </c>
      <c r="H74" s="99">
        <v>0.91950217559722236</v>
      </c>
      <c r="I74" s="99">
        <v>116.43129465734438</v>
      </c>
      <c r="J74" s="101">
        <v>30.593021675621657</v>
      </c>
    </row>
    <row r="75" spans="1:10" x14ac:dyDescent="0.2">
      <c r="A75" s="95">
        <v>70</v>
      </c>
      <c r="B75" s="99">
        <v>2.3761361841030837E-2</v>
      </c>
      <c r="C75" s="99">
        <v>2.3761361841030837E-2</v>
      </c>
      <c r="D75" s="99">
        <v>4.5988707668574214E-2</v>
      </c>
      <c r="E75" s="99">
        <v>0.56952830530171661</v>
      </c>
      <c r="F75" s="99">
        <v>13.770275536109294</v>
      </c>
      <c r="G75" s="99">
        <v>0.8937909348564359</v>
      </c>
      <c r="H75" s="99">
        <v>0.8960005202432173</v>
      </c>
      <c r="I75" s="99">
        <v>124.15914152786236</v>
      </c>
      <c r="J75" s="101">
        <v>20.937365444194</v>
      </c>
    </row>
    <row r="76" spans="1:10" x14ac:dyDescent="0.2">
      <c r="A76" s="95">
        <v>71</v>
      </c>
      <c r="B76" s="99">
        <v>4.6095877980085404E-3</v>
      </c>
      <c r="C76" s="99">
        <v>4.6095877980085404E-3</v>
      </c>
      <c r="D76" s="99">
        <v>4.9277045678200015E-2</v>
      </c>
      <c r="E76" s="99">
        <v>0.49792425280066938</v>
      </c>
      <c r="F76" s="99">
        <v>10.637015843722629</v>
      </c>
      <c r="G76" s="99">
        <v>0.94834727268871744</v>
      </c>
      <c r="H76" s="99">
        <v>0.87820831247918807</v>
      </c>
      <c r="I76" s="99">
        <v>87.717232648421628</v>
      </c>
      <c r="J76" s="101">
        <v>29.570955652796005</v>
      </c>
    </row>
    <row r="77" spans="1:10" x14ac:dyDescent="0.2">
      <c r="A77" s="95">
        <v>72</v>
      </c>
      <c r="B77" s="99">
        <v>3.1801349858165931E-3</v>
      </c>
      <c r="C77" s="99">
        <v>3.1801349858165931E-3</v>
      </c>
      <c r="D77" s="99">
        <v>5.2072957470943315E-2</v>
      </c>
      <c r="E77" s="99">
        <v>0.38977133102318667</v>
      </c>
      <c r="F77" s="99">
        <v>7.8583837450242271</v>
      </c>
      <c r="G77" s="99">
        <v>0.87699985906208044</v>
      </c>
      <c r="H77" s="99">
        <v>0.94423060180934604</v>
      </c>
      <c r="I77" s="99">
        <v>39.212731980523813</v>
      </c>
      <c r="J77" s="101">
        <v>31.030989913213066</v>
      </c>
    </row>
    <row r="78" spans="1:10" x14ac:dyDescent="0.2">
      <c r="A78" s="95">
        <v>73</v>
      </c>
      <c r="B78" s="99">
        <v>2.1018452579682125E-3</v>
      </c>
      <c r="C78" s="99">
        <v>2.1018452579682125E-3</v>
      </c>
      <c r="D78" s="99">
        <v>5.5174801067470414E-2</v>
      </c>
      <c r="E78" s="99">
        <v>0.62254526766477469</v>
      </c>
      <c r="F78" s="99">
        <v>11.416781774052914</v>
      </c>
      <c r="G78" s="99">
        <v>0.92716255869203423</v>
      </c>
      <c r="H78" s="99">
        <v>0.91575143869423958</v>
      </c>
      <c r="I78" s="99">
        <v>117.67779855525225</v>
      </c>
      <c r="J78" s="101">
        <v>27.988046291975241</v>
      </c>
    </row>
    <row r="79" spans="1:10" x14ac:dyDescent="0.2">
      <c r="A79" s="95">
        <v>74</v>
      </c>
      <c r="B79" s="99">
        <v>8.4268471878989892E-3</v>
      </c>
      <c r="C79" s="99">
        <v>8.4268471878989892E-3</v>
      </c>
      <c r="D79" s="99">
        <v>6.7543387947415878E-2</v>
      </c>
      <c r="E79" s="99">
        <v>0.42983688841666051</v>
      </c>
      <c r="F79" s="99">
        <v>8.5629135498500037</v>
      </c>
      <c r="G79" s="99">
        <v>0.92491271912774686</v>
      </c>
      <c r="H79" s="99">
        <v>0.898178098058523</v>
      </c>
      <c r="I79" s="99">
        <v>54.361983058645755</v>
      </c>
      <c r="J79" s="101">
        <v>27.011756336084591</v>
      </c>
    </row>
    <row r="80" spans="1:10" x14ac:dyDescent="0.2">
      <c r="A80" s="95">
        <v>75</v>
      </c>
      <c r="B80" s="99">
        <v>1.3301790429463778E-2</v>
      </c>
      <c r="C80" s="99">
        <v>1.3301790429463778E-2</v>
      </c>
      <c r="D80" s="99">
        <v>5.5742461830360357E-2</v>
      </c>
      <c r="E80" s="99">
        <v>0.43806706345994406</v>
      </c>
      <c r="F80" s="99">
        <v>9.3933414257811929</v>
      </c>
      <c r="G80" s="99">
        <v>0.85721079805694445</v>
      </c>
      <c r="H80" s="99">
        <v>0.93190537787732464</v>
      </c>
      <c r="I80" s="99">
        <v>39.677065188825772</v>
      </c>
      <c r="J80" s="101">
        <v>25.406626345361435</v>
      </c>
    </row>
    <row r="81" spans="1:10" x14ac:dyDescent="0.2">
      <c r="A81" s="95">
        <v>76</v>
      </c>
      <c r="B81" s="99">
        <v>1.8915128613678348E-3</v>
      </c>
      <c r="C81" s="99">
        <v>1.8915128613678348E-3</v>
      </c>
      <c r="D81" s="99">
        <v>4.213133913698603E-2</v>
      </c>
      <c r="E81" s="99">
        <v>0.62589414849953662</v>
      </c>
      <c r="F81" s="99">
        <v>10.537539627510894</v>
      </c>
      <c r="G81" s="99">
        <v>0.88940585155256002</v>
      </c>
      <c r="H81" s="99">
        <v>0.87371339578317742</v>
      </c>
      <c r="I81" s="99">
        <v>90.954176834679544</v>
      </c>
      <c r="J81" s="101">
        <v>30.353529508029865</v>
      </c>
    </row>
    <row r="82" spans="1:10" x14ac:dyDescent="0.2">
      <c r="A82" s="95">
        <v>77</v>
      </c>
      <c r="B82" s="99">
        <v>9.8314689172551706E-3</v>
      </c>
      <c r="C82" s="99">
        <v>9.8314689172551706E-3</v>
      </c>
      <c r="D82" s="99">
        <v>2.7236257230510041E-2</v>
      </c>
      <c r="E82" s="99">
        <v>0.53167231511475721</v>
      </c>
      <c r="F82" s="99">
        <v>12.413811722152392</v>
      </c>
      <c r="G82" s="99">
        <v>0.79990495344014234</v>
      </c>
      <c r="H82" s="99">
        <v>0.93276500691396946</v>
      </c>
      <c r="I82" s="99">
        <v>96.623322921520185</v>
      </c>
      <c r="J82" s="101">
        <v>26.167931698507751</v>
      </c>
    </row>
    <row r="83" spans="1:10" x14ac:dyDescent="0.2">
      <c r="A83" s="95">
        <v>78</v>
      </c>
      <c r="B83" s="99">
        <v>1.6855197936844878E-3</v>
      </c>
      <c r="C83" s="99">
        <v>1.6855197936844878E-3</v>
      </c>
      <c r="D83" s="99">
        <v>1.6168754302918545E-2</v>
      </c>
      <c r="E83" s="99">
        <v>0.31540045180617343</v>
      </c>
      <c r="F83" s="99">
        <v>7.6245664109535971</v>
      </c>
      <c r="G83" s="99">
        <v>0.93069045863192978</v>
      </c>
      <c r="H83" s="99">
        <v>0.88012038453382468</v>
      </c>
      <c r="I83" s="99">
        <v>60.208068451648813</v>
      </c>
      <c r="J83" s="101">
        <v>34.462287773368132</v>
      </c>
    </row>
    <row r="84" spans="1:10" x14ac:dyDescent="0.2">
      <c r="A84" s="95">
        <v>79</v>
      </c>
      <c r="B84" s="99">
        <v>5.5881023753256856E-3</v>
      </c>
      <c r="C84" s="99">
        <v>5.5881023753256856E-3</v>
      </c>
      <c r="D84" s="99">
        <v>4.9670026707706816E-2</v>
      </c>
      <c r="E84" s="99">
        <v>0.45739990794152768</v>
      </c>
      <c r="F84" s="99">
        <v>11.933611513184816</v>
      </c>
      <c r="G84" s="99">
        <v>0.96519896361737889</v>
      </c>
      <c r="H84" s="99">
        <v>0.89402819001182665</v>
      </c>
      <c r="I84" s="99">
        <v>75.927331748616098</v>
      </c>
      <c r="J84" s="101">
        <v>30.906271982254768</v>
      </c>
    </row>
    <row r="85" spans="1:10" x14ac:dyDescent="0.2">
      <c r="A85" s="95">
        <v>80</v>
      </c>
      <c r="B85" s="99">
        <v>1.3315760804036292E-2</v>
      </c>
      <c r="C85" s="99">
        <v>1.3315760804036292E-2</v>
      </c>
      <c r="D85" s="99">
        <v>2.7454079929099946E-2</v>
      </c>
      <c r="E85" s="99">
        <v>0.66524394561275613</v>
      </c>
      <c r="F85" s="99">
        <v>12.206332568562249</v>
      </c>
      <c r="G85" s="99">
        <v>0.92635127720525423</v>
      </c>
      <c r="H85" s="99">
        <v>0.91390601624288947</v>
      </c>
      <c r="I85" s="99">
        <v>189.02023366388832</v>
      </c>
      <c r="J85" s="101">
        <v>25.813533861027146</v>
      </c>
    </row>
    <row r="86" spans="1:10" x14ac:dyDescent="0.2">
      <c r="A86" s="95">
        <v>81</v>
      </c>
      <c r="B86" s="99">
        <v>4.9547850059466613E-3</v>
      </c>
      <c r="C86" s="99">
        <v>4.9547850059466613E-3</v>
      </c>
      <c r="D86" s="99">
        <v>2.7380710440916986E-2</v>
      </c>
      <c r="E86" s="99">
        <v>0.5094828790617727</v>
      </c>
      <c r="F86" s="99">
        <v>13.080702989291433</v>
      </c>
      <c r="G86" s="99">
        <v>0.93586415248053734</v>
      </c>
      <c r="H86" s="99">
        <v>0.87401796929336917</v>
      </c>
      <c r="I86" s="99">
        <v>187.99632782308419</v>
      </c>
      <c r="J86" s="101">
        <v>28.781735230295691</v>
      </c>
    </row>
    <row r="87" spans="1:10" x14ac:dyDescent="0.2">
      <c r="A87" s="95">
        <v>82</v>
      </c>
      <c r="B87" s="99">
        <v>2.1695052163260398E-2</v>
      </c>
      <c r="C87" s="99">
        <v>2.1695052163260398E-2</v>
      </c>
      <c r="D87" s="99">
        <v>3.2321371298030505E-2</v>
      </c>
      <c r="E87" s="99">
        <v>0.47428384725616324</v>
      </c>
      <c r="F87" s="99">
        <v>10.362547319367895</v>
      </c>
      <c r="G87" s="99">
        <v>0.90420112379285855</v>
      </c>
      <c r="H87" s="99">
        <v>0.89198232900910179</v>
      </c>
      <c r="I87" s="99">
        <v>72.917730704178879</v>
      </c>
      <c r="J87" s="101">
        <v>23.506964783613295</v>
      </c>
    </row>
    <row r="88" spans="1:10" x14ac:dyDescent="0.2">
      <c r="A88" s="95">
        <v>83</v>
      </c>
      <c r="B88" s="99">
        <v>3.6320396193356051E-4</v>
      </c>
      <c r="C88" s="99">
        <v>3.6320396193356051E-4</v>
      </c>
      <c r="D88" s="99">
        <v>4.1255407634656537E-2</v>
      </c>
      <c r="E88" s="99">
        <v>0.42833362577196299</v>
      </c>
      <c r="F88" s="99">
        <v>9.8385413632718866</v>
      </c>
      <c r="G88" s="99">
        <v>0.86996147126268863</v>
      </c>
      <c r="H88" s="99">
        <v>0.88317863087182891</v>
      </c>
      <c r="I88" s="99">
        <v>138.94484918588594</v>
      </c>
      <c r="J88" s="101">
        <v>26.583290679616315</v>
      </c>
    </row>
    <row r="89" spans="1:10" x14ac:dyDescent="0.2">
      <c r="A89" s="95">
        <v>84</v>
      </c>
      <c r="B89" s="99">
        <v>7.5550870116862436E-4</v>
      </c>
      <c r="C89" s="99">
        <v>7.5550870116862436E-4</v>
      </c>
      <c r="D89" s="99">
        <v>5.553768210025678E-2</v>
      </c>
      <c r="E89" s="99">
        <v>0.44501978037477413</v>
      </c>
      <c r="F89" s="99">
        <v>11.47026775884482</v>
      </c>
      <c r="G89" s="99">
        <v>0.91457591348606215</v>
      </c>
      <c r="H89" s="99">
        <v>0.89839013273206025</v>
      </c>
      <c r="I89" s="99">
        <v>132.19114980560957</v>
      </c>
      <c r="J89" s="101">
        <v>26.376673559500084</v>
      </c>
    </row>
    <row r="90" spans="1:10" x14ac:dyDescent="0.2">
      <c r="A90" s="95">
        <v>85</v>
      </c>
      <c r="B90" s="99">
        <v>5.5801244136494477E-3</v>
      </c>
      <c r="C90" s="99">
        <v>5.5801244136494477E-3</v>
      </c>
      <c r="D90" s="99">
        <v>4.2666285431487899E-2</v>
      </c>
      <c r="E90" s="99">
        <v>0.50040229393307134</v>
      </c>
      <c r="F90" s="99">
        <v>6.9151002971482969</v>
      </c>
      <c r="G90" s="99">
        <v>0.86296825778660902</v>
      </c>
      <c r="H90" s="99">
        <v>0.91499005462425131</v>
      </c>
      <c r="I90" s="99">
        <v>68.586335534097245</v>
      </c>
      <c r="J90" s="101">
        <v>27.416316908169815</v>
      </c>
    </row>
    <row r="91" spans="1:10" x14ac:dyDescent="0.2">
      <c r="A91" s="95">
        <v>86</v>
      </c>
      <c r="B91" s="99">
        <v>6.4483356356759411E-4</v>
      </c>
      <c r="C91" s="99">
        <v>6.4483356356759411E-4</v>
      </c>
      <c r="D91" s="99">
        <v>7.757587023477841E-2</v>
      </c>
      <c r="E91" s="99">
        <v>0.5770902630577962</v>
      </c>
      <c r="F91" s="99">
        <v>6.4880813136854201</v>
      </c>
      <c r="G91" s="99">
        <v>0.89796110738995383</v>
      </c>
      <c r="H91" s="99">
        <v>0.93446569866135187</v>
      </c>
      <c r="I91" s="99">
        <v>66.206136290576694</v>
      </c>
      <c r="J91" s="101">
        <v>24.967197347532206</v>
      </c>
    </row>
    <row r="92" spans="1:10" x14ac:dyDescent="0.2">
      <c r="A92" s="95">
        <v>87</v>
      </c>
      <c r="B92" s="99">
        <v>8.6863831711962991E-3</v>
      </c>
      <c r="C92" s="99">
        <v>8.6863831711962991E-3</v>
      </c>
      <c r="D92" s="99">
        <v>4.2608561887540738E-2</v>
      </c>
      <c r="E92" s="99">
        <v>0.59980377753398628</v>
      </c>
      <c r="F92" s="99">
        <v>9.06907107797233</v>
      </c>
      <c r="G92" s="99">
        <v>0.91363580226432184</v>
      </c>
      <c r="H92" s="99">
        <v>0.94120756456738197</v>
      </c>
      <c r="I92" s="99">
        <v>130.75082931864739</v>
      </c>
      <c r="J92" s="101">
        <v>24.360044183140033</v>
      </c>
    </row>
    <row r="93" spans="1:10" x14ac:dyDescent="0.2">
      <c r="A93" s="95">
        <v>88</v>
      </c>
      <c r="B93" s="99">
        <v>2.8578456402026386E-2</v>
      </c>
      <c r="C93" s="99">
        <v>2.8578456402026386E-2</v>
      </c>
      <c r="D93" s="99">
        <v>2.7752186883953072E-2</v>
      </c>
      <c r="E93" s="99">
        <v>0.6322231461979021</v>
      </c>
      <c r="F93" s="99">
        <v>10.755626008684871</v>
      </c>
      <c r="G93" s="99">
        <v>0.94381190595158337</v>
      </c>
      <c r="H93" s="99">
        <v>0.93191013477984097</v>
      </c>
      <c r="I93" s="99">
        <v>156.73996767145272</v>
      </c>
      <c r="J93" s="101">
        <v>22.649086717845307</v>
      </c>
    </row>
    <row r="94" spans="1:10" x14ac:dyDescent="0.2">
      <c r="A94" s="95">
        <v>89</v>
      </c>
      <c r="B94" s="99">
        <v>5.8078037616194223E-3</v>
      </c>
      <c r="C94" s="99">
        <v>5.8078037616194223E-3</v>
      </c>
      <c r="D94" s="99">
        <v>7.450521415259681E-2</v>
      </c>
      <c r="E94" s="99">
        <v>0.55850776720384299</v>
      </c>
      <c r="F94" s="99">
        <v>13.667879165215419</v>
      </c>
      <c r="G94" s="99">
        <v>0.90525092760570136</v>
      </c>
      <c r="H94" s="99">
        <v>0.87845516989456385</v>
      </c>
      <c r="I94" s="99">
        <v>64.843962730215438</v>
      </c>
      <c r="J94" s="101">
        <v>28.811068241679028</v>
      </c>
    </row>
    <row r="95" spans="1:10" x14ac:dyDescent="0.2">
      <c r="A95" s="95">
        <v>90</v>
      </c>
      <c r="B95" s="99">
        <v>2.1183222828093151E-2</v>
      </c>
      <c r="C95" s="99">
        <v>2.1183222828093151E-2</v>
      </c>
      <c r="D95" s="99">
        <v>2.9263007602375619E-2</v>
      </c>
      <c r="E95" s="99">
        <v>0.45207716415390653</v>
      </c>
      <c r="F95" s="99">
        <v>10.08626067764987</v>
      </c>
      <c r="G95" s="99">
        <v>0.95304791291837798</v>
      </c>
      <c r="H95" s="99">
        <v>0.87877261079439706</v>
      </c>
      <c r="I95" s="99">
        <v>93.419426320372239</v>
      </c>
      <c r="J95" s="101">
        <v>24.397090734699653</v>
      </c>
    </row>
    <row r="96" spans="1:10" x14ac:dyDescent="0.2">
      <c r="A96" s="95">
        <v>91</v>
      </c>
      <c r="B96" s="99">
        <v>9.4577700076484052E-4</v>
      </c>
      <c r="C96" s="99">
        <v>9.4577700076484052E-4</v>
      </c>
      <c r="D96" s="99">
        <v>6.0479290268686037E-2</v>
      </c>
      <c r="E96" s="99">
        <v>0.4582868064427546</v>
      </c>
      <c r="F96" s="99">
        <v>10.408654834912994</v>
      </c>
      <c r="G96" s="99">
        <v>0.93151424845082076</v>
      </c>
      <c r="H96" s="99">
        <v>0.92519017403803427</v>
      </c>
      <c r="I96" s="99">
        <v>84.478784105300576</v>
      </c>
      <c r="J96" s="101">
        <v>30.173283226933304</v>
      </c>
    </row>
    <row r="97" spans="1:10" x14ac:dyDescent="0.2">
      <c r="A97" s="95">
        <v>92</v>
      </c>
      <c r="B97" s="99">
        <v>1.9409430878958633E-2</v>
      </c>
      <c r="C97" s="99">
        <v>1.9409430878958633E-2</v>
      </c>
      <c r="D97" s="99">
        <v>3.6581190044612862E-2</v>
      </c>
      <c r="E97" s="99">
        <v>0.41911861987289861</v>
      </c>
      <c r="F97" s="99">
        <v>9.5163118387877539</v>
      </c>
      <c r="G97" s="99">
        <v>0.90893994837088676</v>
      </c>
      <c r="H97" s="99">
        <v>0.90461840949930439</v>
      </c>
      <c r="I97" s="99">
        <v>98.686109848790636</v>
      </c>
      <c r="J97" s="101">
        <v>23.299672382610567</v>
      </c>
    </row>
    <row r="98" spans="1:10" x14ac:dyDescent="0.2">
      <c r="A98" s="95">
        <v>93</v>
      </c>
      <c r="B98" s="99">
        <v>5.305748536149125E-3</v>
      </c>
      <c r="C98" s="99">
        <v>5.305748536149125E-3</v>
      </c>
      <c r="D98" s="99">
        <v>2.7719529822290791E-2</v>
      </c>
      <c r="E98" s="99">
        <v>0.49022183814765519</v>
      </c>
      <c r="F98" s="99">
        <v>9.5664647525686082</v>
      </c>
      <c r="G98" s="99">
        <v>0.89580366140330381</v>
      </c>
      <c r="H98" s="99">
        <v>0.90431702530860025</v>
      </c>
      <c r="I98" s="99">
        <v>114.23896586509342</v>
      </c>
      <c r="J98" s="101">
        <v>29.240099872227947</v>
      </c>
    </row>
    <row r="99" spans="1:10" x14ac:dyDescent="0.2">
      <c r="A99" s="95">
        <v>94</v>
      </c>
      <c r="B99" s="99">
        <v>2.8093170062143088E-4</v>
      </c>
      <c r="C99" s="99">
        <v>2.8093170062143088E-4</v>
      </c>
      <c r="D99" s="99">
        <v>3.8875674493276342E-2</v>
      </c>
      <c r="E99" s="99">
        <v>0.55716526706523017</v>
      </c>
      <c r="F99" s="99">
        <v>11.954557126215583</v>
      </c>
      <c r="G99" s="99">
        <v>0.92033206901572762</v>
      </c>
      <c r="H99" s="99">
        <v>0.86417113488959851</v>
      </c>
      <c r="I99" s="99">
        <v>45.69731601164851</v>
      </c>
      <c r="J99" s="101">
        <v>35.40466592072282</v>
      </c>
    </row>
    <row r="100" spans="1:10" x14ac:dyDescent="0.2">
      <c r="A100" s="95">
        <v>95</v>
      </c>
      <c r="B100" s="99">
        <v>1.2404349034196849E-2</v>
      </c>
      <c r="C100" s="99">
        <v>1.2404349034196849E-2</v>
      </c>
      <c r="D100" s="99">
        <v>3.1411689893292488E-2</v>
      </c>
      <c r="E100" s="99">
        <v>0.580475720438694</v>
      </c>
      <c r="F100" s="99">
        <v>7.1844552068337482</v>
      </c>
      <c r="G100" s="99">
        <v>0.86913203923961502</v>
      </c>
      <c r="H100" s="99">
        <v>0.87028412936483535</v>
      </c>
      <c r="I100" s="99">
        <v>59.67562879989719</v>
      </c>
      <c r="J100" s="101">
        <v>26.096551086412223</v>
      </c>
    </row>
    <row r="101" spans="1:10" x14ac:dyDescent="0.2">
      <c r="A101" s="95">
        <v>96</v>
      </c>
      <c r="B101" s="99">
        <v>8.2300445424544465E-4</v>
      </c>
      <c r="C101" s="99">
        <v>8.2300445424544465E-4</v>
      </c>
      <c r="D101" s="99">
        <v>7.3219881077364435E-2</v>
      </c>
      <c r="E101" s="99">
        <v>0.5738674283835582</v>
      </c>
      <c r="F101" s="99">
        <v>8.7299748953000069</v>
      </c>
      <c r="G101" s="99">
        <v>0.89490745689871531</v>
      </c>
      <c r="H101" s="99">
        <v>0.8935278393330216</v>
      </c>
      <c r="I101" s="99">
        <v>83.474664573715032</v>
      </c>
      <c r="J101" s="101">
        <v>25.75224993913174</v>
      </c>
    </row>
    <row r="102" spans="1:10" x14ac:dyDescent="0.2">
      <c r="A102" s="95">
        <v>97</v>
      </c>
      <c r="B102" s="99">
        <v>1.8559433964197159E-3</v>
      </c>
      <c r="C102" s="99">
        <v>1.8559433964197159E-3</v>
      </c>
      <c r="D102" s="99">
        <v>4.1997205550113492E-2</v>
      </c>
      <c r="E102" s="99">
        <v>0.57898524398314444</v>
      </c>
      <c r="F102" s="99">
        <v>8.443573525878115</v>
      </c>
      <c r="G102" s="99">
        <v>0.91519138294375746</v>
      </c>
      <c r="H102" s="99">
        <v>0.93454174353393216</v>
      </c>
      <c r="I102" s="99">
        <v>96.843275912499109</v>
      </c>
      <c r="J102" s="101">
        <v>29.686190415595856</v>
      </c>
    </row>
    <row r="103" spans="1:10" x14ac:dyDescent="0.2">
      <c r="A103" s="95">
        <v>98</v>
      </c>
      <c r="B103" s="99">
        <v>1.125189301318541E-2</v>
      </c>
      <c r="C103" s="99">
        <v>1.125189301318541E-2</v>
      </c>
      <c r="D103" s="99">
        <v>3.7728265559702982E-2</v>
      </c>
      <c r="E103" s="99">
        <v>0.43872519800516663</v>
      </c>
      <c r="F103" s="99">
        <v>9.5219259783917582</v>
      </c>
      <c r="G103" s="99">
        <v>0.88760052573191539</v>
      </c>
      <c r="H103" s="99">
        <v>0.95212272545846299</v>
      </c>
      <c r="I103" s="99">
        <v>107.31052811611259</v>
      </c>
      <c r="J103" s="101">
        <v>25.724584956687291</v>
      </c>
    </row>
    <row r="104" spans="1:10" x14ac:dyDescent="0.2">
      <c r="A104" s="95">
        <v>99</v>
      </c>
      <c r="B104" s="99">
        <v>4.8236350369067786E-3</v>
      </c>
      <c r="C104" s="99">
        <v>4.8236350369067786E-3</v>
      </c>
      <c r="D104" s="99">
        <v>4.3469407706969131E-2</v>
      </c>
      <c r="E104" s="99">
        <v>0.43486501412003919</v>
      </c>
      <c r="F104" s="99">
        <v>7.9710349958343336</v>
      </c>
      <c r="G104" s="99">
        <v>0.94501573350551771</v>
      </c>
      <c r="H104" s="99">
        <v>0.91825610394514734</v>
      </c>
      <c r="I104" s="99">
        <v>72.01740528780698</v>
      </c>
      <c r="J104" s="101">
        <v>29.951541311947409</v>
      </c>
    </row>
    <row r="105" spans="1:10" ht="17" thickBot="1" x14ac:dyDescent="0.25">
      <c r="A105" s="98">
        <v>100</v>
      </c>
      <c r="B105" s="102">
        <v>1.3788371371499575E-2</v>
      </c>
      <c r="C105" s="102">
        <v>1.3788371371499575E-2</v>
      </c>
      <c r="D105" s="102">
        <v>2.2700074680042006E-2</v>
      </c>
      <c r="E105" s="102">
        <v>0.40764625955009026</v>
      </c>
      <c r="F105" s="102">
        <v>11.172638512780317</v>
      </c>
      <c r="G105" s="102">
        <v>0.90743161987085785</v>
      </c>
      <c r="H105" s="102">
        <v>0.90921610248882556</v>
      </c>
      <c r="I105" s="102">
        <v>134.79162626126418</v>
      </c>
      <c r="J105" s="103">
        <v>26.792196267413125</v>
      </c>
    </row>
  </sheetData>
  <hyperlinks>
    <hyperlink ref="C2" r:id="rId1" xr:uid="{B84B29DE-515C-D94A-99C0-8824F8306D1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DF83-64DB-834B-90EE-E4187F9EB394}">
  <sheetPr codeName="Sheet6"/>
  <dimension ref="A1:R46"/>
  <sheetViews>
    <sheetView showGridLines="0" workbookViewId="0">
      <selection activeCell="R45" sqref="R45"/>
    </sheetView>
  </sheetViews>
  <sheetFormatPr baseColWidth="10" defaultRowHeight="16" x14ac:dyDescent="0.2"/>
  <cols>
    <col min="1" max="1" width="15" bestFit="1" customWidth="1"/>
    <col min="8" max="8" width="9.1640625" customWidth="1"/>
    <col min="11" max="11" width="6.5" customWidth="1"/>
    <col min="12" max="12" width="13.1640625" customWidth="1"/>
    <col min="13" max="13" width="12.83203125" customWidth="1"/>
    <col min="14" max="14" width="12.6640625" customWidth="1"/>
    <col min="15" max="15" width="5.5" customWidth="1"/>
  </cols>
  <sheetData>
    <row r="1" spans="1:18" x14ac:dyDescent="0.2">
      <c r="A1" s="42" t="s">
        <v>67</v>
      </c>
      <c r="B1" s="42"/>
      <c r="C1" s="42"/>
    </row>
    <row r="2" spans="1:18" ht="17" thickBot="1" x14ac:dyDescent="0.25">
      <c r="A2" s="42" t="s">
        <v>17</v>
      </c>
      <c r="B2" s="42" t="s">
        <v>29</v>
      </c>
      <c r="C2" s="64" t="s">
        <v>28</v>
      </c>
      <c r="D2" s="42"/>
      <c r="F2" s="12" t="s">
        <v>9</v>
      </c>
      <c r="G2" s="2"/>
      <c r="H2" s="2" t="s">
        <v>10</v>
      </c>
      <c r="I2" s="2"/>
      <c r="J2" s="1"/>
      <c r="K2" s="1"/>
      <c r="L2" s="12" t="s">
        <v>12</v>
      </c>
      <c r="M2" s="2"/>
      <c r="N2" s="2"/>
      <c r="O2" s="2"/>
      <c r="P2" s="12" t="s">
        <v>8</v>
      </c>
      <c r="Q2" s="2"/>
      <c r="R2" s="2"/>
    </row>
    <row r="3" spans="1:18" ht="17" thickBot="1" x14ac:dyDescent="0.25">
      <c r="A3" s="13" t="s">
        <v>0</v>
      </c>
      <c r="B3" s="1"/>
      <c r="C3" s="1"/>
      <c r="D3" s="1"/>
      <c r="F3" s="43"/>
      <c r="G3" s="44"/>
      <c r="H3" s="45" t="s">
        <v>11</v>
      </c>
      <c r="I3" s="45" t="s">
        <v>4</v>
      </c>
      <c r="J3" s="45" t="s">
        <v>3</v>
      </c>
      <c r="K3" s="45"/>
      <c r="L3" s="45" t="s">
        <v>11</v>
      </c>
      <c r="M3" s="45" t="s">
        <v>4</v>
      </c>
      <c r="N3" s="45" t="s">
        <v>13</v>
      </c>
      <c r="O3" s="45"/>
      <c r="P3" s="45" t="s">
        <v>11</v>
      </c>
      <c r="Q3" s="45" t="s">
        <v>4</v>
      </c>
      <c r="R3" s="46" t="s">
        <v>13</v>
      </c>
    </row>
    <row r="4" spans="1:18" ht="17" thickBot="1" x14ac:dyDescent="0.25">
      <c r="A4" s="36"/>
      <c r="B4" s="26" t="s">
        <v>1</v>
      </c>
      <c r="C4" s="24" t="s">
        <v>2</v>
      </c>
      <c r="D4" s="25" t="s">
        <v>3</v>
      </c>
      <c r="F4" s="6">
        <v>1</v>
      </c>
      <c r="G4" s="7"/>
      <c r="H4" s="7">
        <v>1000</v>
      </c>
      <c r="I4" s="7">
        <v>0</v>
      </c>
      <c r="J4" s="7">
        <v>0</v>
      </c>
      <c r="K4" s="7"/>
      <c r="L4" s="7">
        <f ca="1">H4*$B$11</f>
        <v>648.66653067146433</v>
      </c>
      <c r="M4" s="7">
        <f ca="1">I4*$B$12</f>
        <v>0</v>
      </c>
      <c r="N4" s="7">
        <f ca="1">SUM(L4:M4)</f>
        <v>648.66653067146433</v>
      </c>
      <c r="O4" s="7"/>
      <c r="P4" s="7">
        <f ca="1">H4*$C$11</f>
        <v>954.19585319770613</v>
      </c>
      <c r="Q4" s="7">
        <f ca="1">I4*$C$12</f>
        <v>0</v>
      </c>
      <c r="R4" s="8">
        <f ca="1">SUM(P4:Q4)</f>
        <v>954.19585319770613</v>
      </c>
    </row>
    <row r="5" spans="1:18" x14ac:dyDescent="0.2">
      <c r="A5" s="27" t="s">
        <v>1</v>
      </c>
      <c r="B5" s="14">
        <f ca="1">1-C5-D5</f>
        <v>0.95899746076758952</v>
      </c>
      <c r="C5" s="14">
        <f ca="1">p_healthy_diseased</f>
        <v>3.1562935493747446E-2</v>
      </c>
      <c r="D5" s="15">
        <f ca="1">p_healthy_dead</f>
        <v>9.4396037386630383E-3</v>
      </c>
      <c r="F5" s="6">
        <f>F4+1</f>
        <v>2</v>
      </c>
      <c r="G5" s="7"/>
      <c r="H5" s="7" cm="1">
        <f t="array" aca="1" ref="H5:J5" ca="1">MMULT(H4:J4,$B$5:$D$7)</f>
        <v>958.99746076758947</v>
      </c>
      <c r="I5" s="7">
        <f ca="1"/>
        <v>31.562935493747446</v>
      </c>
      <c r="J5" s="7">
        <f ca="1"/>
        <v>9.4396037386630383</v>
      </c>
      <c r="K5" s="7"/>
      <c r="L5" s="7">
        <f t="shared" ref="L5:L43" ca="1" si="0">H5*$B$11</f>
        <v>622.06955579885596</v>
      </c>
      <c r="M5" s="7">
        <f t="shared" ref="M5:M43" ca="1" si="1">I5*$B$12</f>
        <v>212.35564607165242</v>
      </c>
      <c r="N5" s="7">
        <f t="shared" ref="N5:N43" ca="1" si="2">SUM(L5:M5)</f>
        <v>834.42520187050832</v>
      </c>
      <c r="O5" s="7"/>
      <c r="P5" s="7">
        <f t="shared" ref="P5:P33" ca="1" si="3">H5*$C$11</f>
        <v>915.0714002915638</v>
      </c>
      <c r="Q5" s="7">
        <f t="shared" ref="Q5:Q33" ca="1" si="4">I5*$C$12</f>
        <v>28.40315044896251</v>
      </c>
      <c r="R5" s="8">
        <f t="shared" ref="R5:R33" ca="1" si="5">SUM(P5:Q5)</f>
        <v>943.4745507405263</v>
      </c>
    </row>
    <row r="6" spans="1:18" x14ac:dyDescent="0.2">
      <c r="A6" s="28" t="s">
        <v>4</v>
      </c>
      <c r="B6" s="14">
        <v>0</v>
      </c>
      <c r="C6" s="14">
        <f ca="1">1-D6</f>
        <v>0.94592451916724163</v>
      </c>
      <c r="D6" s="15">
        <f ca="1">p_diseased_dead</f>
        <v>5.4075480832758371E-2</v>
      </c>
      <c r="F6" s="6">
        <f t="shared" ref="F6:F43" si="6">F5+1</f>
        <v>3</v>
      </c>
      <c r="G6" s="7"/>
      <c r="H6" s="7" cm="1">
        <f t="array" aca="1" ref="H6:J6" ca="1">MMULT(H5:J5,$B$5:$D$7)</f>
        <v>919.6761297586844</v>
      </c>
      <c r="I6" s="7">
        <f ca="1"/>
        <v>60.12492957330474</v>
      </c>
      <c r="J6" s="7">
        <f ca="1"/>
        <v>20.198940668010863</v>
      </c>
      <c r="K6" s="7"/>
      <c r="L6" s="7">
        <f t="shared" ca="1" si="0"/>
        <v>596.56312443192519</v>
      </c>
      <c r="M6" s="7">
        <f t="shared" ca="1" si="1"/>
        <v>404.52093776515233</v>
      </c>
      <c r="N6" s="7">
        <f t="shared" ca="1" si="2"/>
        <v>1001.0840621970775</v>
      </c>
      <c r="O6" s="7"/>
      <c r="P6" s="7">
        <f t="shared" ca="1" si="3"/>
        <v>877.55114930065224</v>
      </c>
      <c r="Q6" s="7">
        <f t="shared" ca="1" si="4"/>
        <v>54.105785589624546</v>
      </c>
      <c r="R6" s="8">
        <f t="shared" ca="1" si="5"/>
        <v>931.65693489027683</v>
      </c>
    </row>
    <row r="7" spans="1:18" ht="17" thickBot="1" x14ac:dyDescent="0.25">
      <c r="A7" s="29" t="s">
        <v>3</v>
      </c>
      <c r="B7" s="16">
        <v>0</v>
      </c>
      <c r="C7" s="16">
        <v>0</v>
      </c>
      <c r="D7" s="17">
        <v>1</v>
      </c>
      <c r="F7" s="6">
        <f t="shared" si="6"/>
        <v>4</v>
      </c>
      <c r="G7" s="7"/>
      <c r="H7" s="7" cm="1">
        <f t="array" aca="1" ref="H7:J7" ca="1">MMULT(H6:J6,$B$5:$D$7)</f>
        <v>881.96707316714253</v>
      </c>
      <c r="I7" s="7">
        <f ca="1"/>
        <v>85.901323455305217</v>
      </c>
      <c r="J7" s="7">
        <f ca="1"/>
        <v>32.131603377552281</v>
      </c>
      <c r="K7" s="7"/>
      <c r="L7" s="7">
        <f t="shared" ca="1" si="0"/>
        <v>572.10252151779582</v>
      </c>
      <c r="M7" s="7">
        <f t="shared" ca="1" si="1"/>
        <v>577.94469226016565</v>
      </c>
      <c r="N7" s="7">
        <f t="shared" ca="1" si="2"/>
        <v>1150.0472137779616</v>
      </c>
      <c r="O7" s="7"/>
      <c r="P7" s="7">
        <f t="shared" ca="1" si="3"/>
        <v>841.56932387300526</v>
      </c>
      <c r="Q7" s="7">
        <f t="shared" ca="1" si="4"/>
        <v>77.301688695886952</v>
      </c>
      <c r="R7" s="8">
        <f t="shared" ca="1" si="5"/>
        <v>918.87101256889218</v>
      </c>
    </row>
    <row r="8" spans="1:18" ht="17" thickBot="1" x14ac:dyDescent="0.25">
      <c r="F8" s="6">
        <f t="shared" si="6"/>
        <v>5</v>
      </c>
      <c r="G8" s="7"/>
      <c r="H8" s="7" cm="1">
        <f t="array" aca="1" ref="H8:J8" ca="1">MMULT(H7:J7,$B$5:$D$7)</f>
        <v>845.80418364791251</v>
      </c>
      <c r="I8" s="7">
        <f ca="1"/>
        <v>109.09363792327304</v>
      </c>
      <c r="J8" s="7">
        <f ca="1"/>
        <v>45.102178428814469</v>
      </c>
      <c r="K8" s="7"/>
      <c r="L8" s="7">
        <f t="shared" ca="1" si="0"/>
        <v>548.64486543430144</v>
      </c>
      <c r="M8" s="7">
        <f t="shared" ca="1" si="1"/>
        <v>733.98274276778955</v>
      </c>
      <c r="N8" s="7">
        <f t="shared" ca="1" si="2"/>
        <v>1282.6276082020909</v>
      </c>
      <c r="O8" s="7"/>
      <c r="P8" s="7">
        <f t="shared" ca="1" si="3"/>
        <v>807.0628446541092</v>
      </c>
      <c r="Q8" s="7">
        <f t="shared" ca="1" si="4"/>
        <v>98.17220618067013</v>
      </c>
      <c r="R8" s="8">
        <f t="shared" ca="1" si="5"/>
        <v>905.23505083477937</v>
      </c>
    </row>
    <row r="9" spans="1:18" ht="17" thickBot="1" x14ac:dyDescent="0.25">
      <c r="A9" s="33" t="s">
        <v>5</v>
      </c>
      <c r="B9" s="34"/>
      <c r="C9" s="35"/>
      <c r="F9" s="6">
        <f t="shared" si="6"/>
        <v>6</v>
      </c>
      <c r="G9" s="7"/>
      <c r="H9" s="7" cm="1">
        <f t="array" aca="1" ref="H9:J9" ca="1">MMULT(H8:J8,$B$5:$D$7)</f>
        <v>811.12406442495205</v>
      </c>
      <c r="I9" s="7">
        <f ca="1"/>
        <v>129.89040988559799</v>
      </c>
      <c r="J9" s="7">
        <f ca="1"/>
        <v>58.985525689449972</v>
      </c>
      <c r="K9" s="7"/>
      <c r="L9" s="7">
        <f t="shared" ca="1" si="0"/>
        <v>526.14903281467093</v>
      </c>
      <c r="M9" s="7">
        <f t="shared" ca="1" si="1"/>
        <v>873.90356689833357</v>
      </c>
      <c r="N9" s="7">
        <f t="shared" ca="1" si="2"/>
        <v>1400.0525997130044</v>
      </c>
      <c r="O9" s="7"/>
      <c r="P9" s="7">
        <f t="shared" ca="1" si="3"/>
        <v>773.97121870315834</v>
      </c>
      <c r="Q9" s="7">
        <f t="shared" ca="1" si="4"/>
        <v>116.88700040555129</v>
      </c>
      <c r="R9" s="8">
        <f t="shared" ca="1" si="5"/>
        <v>890.85821910870959</v>
      </c>
    </row>
    <row r="10" spans="1:18" ht="17" thickBot="1" x14ac:dyDescent="0.25">
      <c r="A10" s="22" t="s">
        <v>6</v>
      </c>
      <c r="B10" s="30" t="s">
        <v>7</v>
      </c>
      <c r="C10" s="23" t="s">
        <v>8</v>
      </c>
      <c r="F10" s="6">
        <f t="shared" si="6"/>
        <v>7</v>
      </c>
      <c r="G10" s="7"/>
      <c r="H10" s="7" cm="1">
        <f t="array" aca="1" ref="H10:J10" ca="1">MMULT(H9:J9,$B$5:$D$7)</f>
        <v>777.86591815101576</v>
      </c>
      <c r="I10" s="7">
        <f ca="1"/>
        <v>148.46798003834121</v>
      </c>
      <c r="J10" s="7">
        <f ca="1"/>
        <v>73.666101810643084</v>
      </c>
      <c r="K10" s="7"/>
      <c r="L10" s="7">
        <f t="shared" ca="1" si="0"/>
        <v>504.57558645459261</v>
      </c>
      <c r="M10" s="7">
        <f t="shared" ca="1" si="1"/>
        <v>998.89358606206883</v>
      </c>
      <c r="N10" s="7">
        <f t="shared" ca="1" si="2"/>
        <v>1503.4691725166615</v>
      </c>
      <c r="O10" s="7"/>
      <c r="P10" s="7">
        <f t="shared" ca="1" si="3"/>
        <v>742.23643344352558</v>
      </c>
      <c r="Q10" s="7">
        <f t="shared" ca="1" si="4"/>
        <v>133.60475849015813</v>
      </c>
      <c r="R10" s="8">
        <f t="shared" ca="1" si="5"/>
        <v>875.84119193368372</v>
      </c>
    </row>
    <row r="11" spans="1:18" x14ac:dyDescent="0.2">
      <c r="A11" s="31" t="s">
        <v>1</v>
      </c>
      <c r="B11" s="18">
        <f ca="1">c_healthy</f>
        <v>0.64866653067146429</v>
      </c>
      <c r="C11" s="19">
        <f ca="1">u_healty</f>
        <v>0.95419585319770617</v>
      </c>
      <c r="F11" s="6">
        <f t="shared" si="6"/>
        <v>8</v>
      </c>
      <c r="G11" s="7"/>
      <c r="H11" s="7" cm="1">
        <f t="array" aca="1" ref="H11:J11" ca="1">MMULT(H10:J10,$B$5:$D$7)</f>
        <v>745.97144032447375</v>
      </c>
      <c r="I11" s="7">
        <f ca="1"/>
        <v>164.99123442688469</v>
      </c>
      <c r="J11" s="7">
        <f ca="1"/>
        <v>89.037325248641636</v>
      </c>
      <c r="K11" s="7"/>
      <c r="L11" s="7">
        <f t="shared" ca="1" si="0"/>
        <v>483.88670617527163</v>
      </c>
      <c r="M11" s="7">
        <f t="shared" ca="1" si="1"/>
        <v>1110.0621547010824</v>
      </c>
      <c r="N11" s="7">
        <f t="shared" ca="1" si="2"/>
        <v>1593.948860876354</v>
      </c>
      <c r="O11" s="7"/>
      <c r="P11" s="7">
        <f t="shared" ca="1" si="3"/>
        <v>711.80285496153294</v>
      </c>
      <c r="Q11" s="7">
        <f t="shared" ca="1" si="4"/>
        <v>148.47385963562195</v>
      </c>
      <c r="R11" s="8">
        <f t="shared" ca="1" si="5"/>
        <v>860.27671459715486</v>
      </c>
    </row>
    <row r="12" spans="1:18" ht="17" thickBot="1" x14ac:dyDescent="0.25">
      <c r="A12" s="4" t="s">
        <v>4</v>
      </c>
      <c r="B12" s="20">
        <f ca="1">c_diseased</f>
        <v>6.7280068456788387</v>
      </c>
      <c r="C12" s="21">
        <f ca="1">u_diseased</f>
        <v>0.89988937988955797</v>
      </c>
      <c r="F12" s="6">
        <f t="shared" si="6"/>
        <v>9</v>
      </c>
      <c r="G12" s="7"/>
      <c r="H12" s="7" cm="1">
        <f t="array" aca="1" ref="H12:J12" ca="1">MMULT(H11:J11,$B$5:$D$7)</f>
        <v>715.38471707631174</v>
      </c>
      <c r="I12" s="7">
        <f ca="1"/>
        <v>179.61430254319976</v>
      </c>
      <c r="J12" s="7">
        <f ca="1"/>
        <v>105.00098038048854</v>
      </c>
      <c r="K12" s="7"/>
      <c r="L12" s="7">
        <f t="shared" ca="1" si="0"/>
        <v>464.04612252127816</v>
      </c>
      <c r="M12" s="7">
        <f t="shared" ca="1" si="1"/>
        <v>1208.4462570924779</v>
      </c>
      <c r="N12" s="7">
        <f t="shared" ca="1" si="2"/>
        <v>1672.4923796137562</v>
      </c>
      <c r="O12" s="7"/>
      <c r="P12" s="7">
        <f t="shared" ca="1" si="3"/>
        <v>682.61713047523097</v>
      </c>
      <c r="Q12" s="7">
        <f t="shared" ca="1" si="4"/>
        <v>161.63300333489548</v>
      </c>
      <c r="R12" s="8">
        <f t="shared" ca="1" si="5"/>
        <v>844.2501338101265</v>
      </c>
    </row>
    <row r="13" spans="1:18" x14ac:dyDescent="0.2">
      <c r="A13" s="32"/>
      <c r="B13" s="32"/>
      <c r="C13" s="32"/>
      <c r="F13" s="6">
        <f t="shared" si="6"/>
        <v>10</v>
      </c>
      <c r="G13" s="7"/>
      <c r="H13" s="7" cm="1">
        <f t="array" aca="1" ref="H13:J13" ca="1">MMULT(H12:J12,$B$5:$D$7)</f>
        <v>686.05212714812342</v>
      </c>
      <c r="I13" s="7">
        <f ca="1"/>
        <v>192.48121444702809</v>
      </c>
      <c r="J13" s="7">
        <f ca="1"/>
        <v>121.46665840484856</v>
      </c>
      <c r="K13" s="7"/>
      <c r="L13" s="7">
        <f t="shared" ca="1" si="0"/>
        <v>445.0190531769515</v>
      </c>
      <c r="M13" s="7">
        <f t="shared" ca="1" si="1"/>
        <v>1295.0149284641816</v>
      </c>
      <c r="N13" s="7">
        <f t="shared" ca="1" si="2"/>
        <v>1740.0339816411331</v>
      </c>
      <c r="O13" s="7"/>
      <c r="P13" s="7">
        <f t="shared" ca="1" si="3"/>
        <v>654.62809480220483</v>
      </c>
      <c r="Q13" s="7">
        <f t="shared" ca="1" si="4"/>
        <v>173.21180070912513</v>
      </c>
      <c r="R13" s="8">
        <f t="shared" ca="1" si="5"/>
        <v>827.83989551132993</v>
      </c>
    </row>
    <row r="14" spans="1:18" x14ac:dyDescent="0.2">
      <c r="F14" s="6">
        <f t="shared" si="6"/>
        <v>11</v>
      </c>
      <c r="G14" s="7"/>
      <c r="H14" s="7" cm="1">
        <f t="array" aca="1" ref="H14:J14" ca="1">MMULT(H13:J13,$B$5:$D$7)</f>
        <v>657.92224788925387</v>
      </c>
      <c r="I14" s="7">
        <f ca="1"/>
        <v>203.72651925905623</v>
      </c>
      <c r="J14" s="7">
        <f ca="1"/>
        <v>138.35123285169004</v>
      </c>
      <c r="K14" s="7"/>
      <c r="L14" s="7">
        <f t="shared" ca="1" si="0"/>
        <v>426.77214198989344</v>
      </c>
      <c r="M14" s="7">
        <f t="shared" ca="1" si="1"/>
        <v>1370.6734162212522</v>
      </c>
      <c r="N14" s="7">
        <f t="shared" ca="1" si="2"/>
        <v>1797.4455582111457</v>
      </c>
      <c r="O14" s="7"/>
      <c r="P14" s="7">
        <f t="shared" ca="1" si="3"/>
        <v>627.78668066243938</v>
      </c>
      <c r="Q14" s="7">
        <f t="shared" ca="1" si="4"/>
        <v>183.33133108309019</v>
      </c>
      <c r="R14" s="8">
        <f t="shared" ca="1" si="5"/>
        <v>811.11801174552954</v>
      </c>
    </row>
    <row r="15" spans="1:18" x14ac:dyDescent="0.2">
      <c r="F15" s="6">
        <f t="shared" si="6"/>
        <v>12</v>
      </c>
      <c r="G15" s="7"/>
      <c r="H15" s="7" cm="1">
        <f t="array" aca="1" ref="H15:J15" ca="1">MMULT(H14:J14,$B$5:$D$7)</f>
        <v>630.94576510829904</v>
      </c>
      <c r="I15" s="7">
        <f ca="1"/>
        <v>213.47586724176838</v>
      </c>
      <c r="J15" s="7">
        <f ca="1"/>
        <v>155.57836764993272</v>
      </c>
      <c r="K15" s="7"/>
      <c r="L15" s="7">
        <f t="shared" ca="1" si="0"/>
        <v>409.27340049465295</v>
      </c>
      <c r="M15" s="7">
        <f t="shared" ca="1" si="1"/>
        <v>1436.2670961898446</v>
      </c>
      <c r="N15" s="7">
        <f t="shared" ca="1" si="2"/>
        <v>1845.5404966844976</v>
      </c>
      <c r="O15" s="7"/>
      <c r="P15" s="7">
        <f t="shared" ca="1" si="3"/>
        <v>602.04583265899294</v>
      </c>
      <c r="Q15" s="7">
        <f t="shared" ca="1" si="4"/>
        <v>192.10466579358055</v>
      </c>
      <c r="R15" s="8">
        <f t="shared" ca="1" si="5"/>
        <v>794.15049845257352</v>
      </c>
    </row>
    <row r="16" spans="1:18" x14ac:dyDescent="0.2">
      <c r="F16" s="6">
        <f t="shared" si="6"/>
        <v>13</v>
      </c>
      <c r="G16" s="7"/>
      <c r="H16" s="7" cm="1">
        <f t="array" aca="1" ref="H16:J16" ca="1">MMULT(H15:J15,$B$5:$D$7)</f>
        <v>605.07538662092281</v>
      </c>
      <c r="I16" s="7">
        <f ca="1"/>
        <v>221.84655755864605</v>
      </c>
      <c r="J16" s="7">
        <f ca="1"/>
        <v>173.07805582043136</v>
      </c>
      <c r="K16" s="7"/>
      <c r="L16" s="7">
        <f t="shared" ca="1" si="0"/>
        <v>392.49215183408893</v>
      </c>
      <c r="M16" s="7">
        <f t="shared" ca="1" si="1"/>
        <v>1492.5851579448552</v>
      </c>
      <c r="N16" s="7">
        <f t="shared" ca="1" si="2"/>
        <v>1885.077309778944</v>
      </c>
      <c r="O16" s="7"/>
      <c r="P16" s="7">
        <f t="shared" ca="1" si="3"/>
        <v>577.36042478568334</v>
      </c>
      <c r="Q16" s="7">
        <f t="shared" ca="1" si="4"/>
        <v>199.63736111208314</v>
      </c>
      <c r="R16" s="8">
        <f t="shared" ca="1" si="5"/>
        <v>776.99778589776645</v>
      </c>
    </row>
    <row r="17" spans="6:18" x14ac:dyDescent="0.2">
      <c r="F17" s="6">
        <f t="shared" si="6"/>
        <v>14</v>
      </c>
      <c r="G17" s="7"/>
      <c r="H17" s="7" cm="1">
        <f t="array" aca="1" ref="H17:J17" ca="1">MMULT(H16:J16,$B$5:$D$7)</f>
        <v>580.26575934243249</v>
      </c>
      <c r="I17" s="7">
        <f ca="1"/>
        <v>228.94805368434055</v>
      </c>
      <c r="J17" s="7">
        <f ca="1"/>
        <v>190.78618697322719</v>
      </c>
      <c r="K17" s="7"/>
      <c r="L17" s="7">
        <f t="shared" ca="1" si="0"/>
        <v>376.3989769800985</v>
      </c>
      <c r="M17" s="7">
        <f t="shared" ca="1" si="1"/>
        <v>1540.3640724930895</v>
      </c>
      <c r="N17" s="7">
        <f t="shared" ca="1" si="2"/>
        <v>1916.7630494731879</v>
      </c>
      <c r="O17" s="7"/>
      <c r="P17" s="7">
        <f t="shared" ca="1" si="3"/>
        <v>553.68718131716719</v>
      </c>
      <c r="Q17" s="7">
        <f t="shared" ca="1" si="4"/>
        <v>206.02792205692245</v>
      </c>
      <c r="R17" s="8">
        <f t="shared" ca="1" si="5"/>
        <v>759.71510337408961</v>
      </c>
    </row>
    <row r="18" spans="6:18" x14ac:dyDescent="0.2">
      <c r="F18" s="6">
        <f t="shared" si="6"/>
        <v>15</v>
      </c>
      <c r="G18" s="7"/>
      <c r="H18" s="7" cm="1">
        <f t="array" aca="1" ref="H18:J18" ca="1">MMULT(H17:J17,$B$5:$D$7)</f>
        <v>556.47338977976995</v>
      </c>
      <c r="I18" s="7">
        <f ca="1"/>
        <v>234.88246832699124</v>
      </c>
      <c r="J18" s="7">
        <f ca="1"/>
        <v>208.64414189323907</v>
      </c>
      <c r="K18" s="7"/>
      <c r="L18" s="7">
        <f t="shared" ca="1" si="0"/>
        <v>360.96566315943284</v>
      </c>
      <c r="M18" s="7">
        <f t="shared" ca="1" si="1"/>
        <v>1580.2908548339401</v>
      </c>
      <c r="N18" s="7">
        <f t="shared" ca="1" si="2"/>
        <v>1941.2565179933729</v>
      </c>
      <c r="O18" s="7"/>
      <c r="P18" s="7">
        <f t="shared" ca="1" si="3"/>
        <v>530.9846009427273</v>
      </c>
      <c r="Q18" s="7">
        <f t="shared" ca="1" si="4"/>
        <v>211.3682387697049</v>
      </c>
      <c r="R18" s="8">
        <f t="shared" ca="1" si="5"/>
        <v>742.35283971243223</v>
      </c>
    </row>
    <row r="19" spans="6:18" x14ac:dyDescent="0.2">
      <c r="F19" s="6">
        <f t="shared" si="6"/>
        <v>16</v>
      </c>
      <c r="G19" s="7"/>
      <c r="H19" s="7" cm="1">
        <f t="array" aca="1" ref="H19:J19" ca="1">MMULT(H18:J18,$B$5:$D$7)</f>
        <v>533.65656778353252</v>
      </c>
      <c r="I19" s="7">
        <f ca="1"/>
        <v>239.7450196186299</v>
      </c>
      <c r="J19" s="7">
        <f ca="1"/>
        <v>226.59841259783786</v>
      </c>
      <c r="K19" s="7"/>
      <c r="L19" s="7">
        <f t="shared" ca="1" si="0"/>
        <v>346.16515439418515</v>
      </c>
      <c r="M19" s="7">
        <f t="shared" ca="1" si="1"/>
        <v>1613.0061332115495</v>
      </c>
      <c r="N19" s="7">
        <f t="shared" ca="1" si="2"/>
        <v>1959.1712876057345</v>
      </c>
      <c r="O19" s="7"/>
      <c r="P19" s="7">
        <f t="shared" ca="1" si="3"/>
        <v>509.21288401076731</v>
      </c>
      <c r="Q19" s="7">
        <f t="shared" ca="1" si="4"/>
        <v>215.74399703621876</v>
      </c>
      <c r="R19" s="8">
        <f t="shared" ca="1" si="5"/>
        <v>724.95688104698604</v>
      </c>
    </row>
    <row r="20" spans="6:18" x14ac:dyDescent="0.2">
      <c r="F20" s="6">
        <f t="shared" si="6"/>
        <v>17</v>
      </c>
      <c r="G20" s="7"/>
      <c r="H20" s="7" cm="1">
        <f t="array" aca="1" ref="H20:J20" ca="1">MMULT(H19:J19,$B$5:$D$7)</f>
        <v>511.77529342635472</v>
      </c>
      <c r="I20" s="7">
        <f ca="1"/>
        <v>243.6244602302597</v>
      </c>
      <c r="J20" s="7">
        <f ca="1"/>
        <v>244.60024634338589</v>
      </c>
      <c r="K20" s="7"/>
      <c r="L20" s="7">
        <f t="shared" ca="1" si="0"/>
        <v>331.97150407024418</v>
      </c>
      <c r="M20" s="7">
        <f t="shared" ca="1" si="1"/>
        <v>1639.1070362039993</v>
      </c>
      <c r="N20" s="7">
        <f t="shared" ca="1" si="2"/>
        <v>1971.0785402742436</v>
      </c>
      <c r="O20" s="7"/>
      <c r="P20" s="7">
        <f t="shared" ca="1" si="3"/>
        <v>488.33386275646694</v>
      </c>
      <c r="Q20" s="7">
        <f t="shared" ca="1" si="4"/>
        <v>219.23506444253667</v>
      </c>
      <c r="R20" s="8">
        <f t="shared" ca="1" si="5"/>
        <v>707.56892719900361</v>
      </c>
    </row>
    <row r="21" spans="6:18" x14ac:dyDescent="0.2">
      <c r="F21" s="6">
        <f t="shared" si="6"/>
        <v>18</v>
      </c>
      <c r="G21" s="7"/>
      <c r="H21" s="7" cm="1">
        <f t="array" aca="1" ref="H21:J21" ca="1">MMULT(H20:J20,$B$5:$D$7)</f>
        <v>490.79120687946221</v>
      </c>
      <c r="I21" s="7">
        <f ca="1"/>
        <v>246.60348097439692</v>
      </c>
      <c r="J21" s="7">
        <f ca="1"/>
        <v>262.60531214614122</v>
      </c>
      <c r="K21" s="7"/>
      <c r="L21" s="7">
        <f t="shared" ca="1" si="0"/>
        <v>318.35982945056168</v>
      </c>
      <c r="M21" s="7">
        <f t="shared" ca="1" si="1"/>
        <v>1659.1499081639738</v>
      </c>
      <c r="N21" s="7">
        <f t="shared" ca="1" si="2"/>
        <v>1977.5097376145354</v>
      </c>
      <c r="O21" s="7"/>
      <c r="P21" s="7">
        <f t="shared" ca="1" si="3"/>
        <v>468.31093439028035</v>
      </c>
      <c r="Q21" s="7">
        <f t="shared" ca="1" si="4"/>
        <v>221.91585357265646</v>
      </c>
      <c r="R21" s="8">
        <f t="shared" ca="1" si="5"/>
        <v>690.22678796293678</v>
      </c>
    </row>
    <row r="22" spans="6:18" x14ac:dyDescent="0.2">
      <c r="F22" s="6">
        <f t="shared" si="6"/>
        <v>19</v>
      </c>
      <c r="G22" s="7"/>
      <c r="H22" s="7" cm="1">
        <f t="array" aca="1" ref="H22:J22" ca="1">MMULT(H21:J21,$B$5:$D$7)</f>
        <v>470.66752116446497</v>
      </c>
      <c r="I22" s="7">
        <f ca="1"/>
        <v>248.75909036930935</v>
      </c>
      <c r="J22" s="7">
        <f ca="1"/>
        <v>280.57338846622605</v>
      </c>
      <c r="K22" s="7"/>
      <c r="L22" s="7">
        <f t="shared" ca="1" si="0"/>
        <v>305.30626805349146</v>
      </c>
      <c r="M22" s="7">
        <f t="shared" ca="1" si="1"/>
        <v>1673.6528629295542</v>
      </c>
      <c r="N22" s="7">
        <f t="shared" ca="1" si="2"/>
        <v>1978.9591309830457</v>
      </c>
      <c r="O22" s="7"/>
      <c r="P22" s="7">
        <f t="shared" ca="1" si="3"/>
        <v>449.10899692997606</v>
      </c>
      <c r="Q22" s="7">
        <f t="shared" ca="1" si="4"/>
        <v>223.8556635743283</v>
      </c>
      <c r="R22" s="8">
        <f t="shared" ca="1" si="5"/>
        <v>672.96466050430433</v>
      </c>
    </row>
    <row r="23" spans="6:18" x14ac:dyDescent="0.2">
      <c r="F23" s="6">
        <f t="shared" si="6"/>
        <v>20</v>
      </c>
      <c r="G23" s="7"/>
      <c r="H23" s="7" cm="1">
        <f t="array" aca="1" ref="H23:J23" ca="1">MMULT(H22:J22,$B$5:$D$7)</f>
        <v>451.36895766249762</v>
      </c>
      <c r="I23" s="7">
        <f ca="1"/>
        <v>250.16297155558536</v>
      </c>
      <c r="J23" s="7">
        <f ca="1"/>
        <v>298.46807078191739</v>
      </c>
      <c r="K23" s="7"/>
      <c r="L23" s="7">
        <f t="shared" ca="1" si="0"/>
        <v>292.78793581972741</v>
      </c>
      <c r="M23" s="7">
        <f t="shared" ca="1" si="1"/>
        <v>1683.098185161339</v>
      </c>
      <c r="N23" s="7">
        <f t="shared" ca="1" si="2"/>
        <v>1975.8861209810664</v>
      </c>
      <c r="O23" s="7"/>
      <c r="P23" s="7">
        <f t="shared" ca="1" si="3"/>
        <v>430.69438766372622</v>
      </c>
      <c r="Q23" s="7">
        <f t="shared" ca="1" si="4"/>
        <v>225.11900134448484</v>
      </c>
      <c r="R23" s="8">
        <f t="shared" ca="1" si="5"/>
        <v>655.81338900821106</v>
      </c>
    </row>
    <row r="24" spans="6:18" x14ac:dyDescent="0.2">
      <c r="F24" s="6">
        <f t="shared" si="6"/>
        <v>21</v>
      </c>
      <c r="G24" s="7"/>
      <c r="H24" s="7" cm="1">
        <f t="array" aca="1" ref="H24:J24" ca="1">MMULT(H23:J23,$B$5:$D$7)</f>
        <v>432.86168426764885</v>
      </c>
      <c r="I24" s="7">
        <f ca="1"/>
        <v>250.88181787674685</v>
      </c>
      <c r="J24" s="7">
        <f ca="1"/>
        <v>316.25649785560466</v>
      </c>
      <c r="K24" s="7"/>
      <c r="L24" s="7">
        <f t="shared" ca="1" si="0"/>
        <v>280.78288699450252</v>
      </c>
      <c r="M24" s="7">
        <f t="shared" ca="1" si="1"/>
        <v>1687.9345881311044</v>
      </c>
      <c r="N24" s="7">
        <f t="shared" ca="1" si="2"/>
        <v>1968.7174751256071</v>
      </c>
      <c r="O24" s="7"/>
      <c r="P24" s="7">
        <f t="shared" ca="1" si="3"/>
        <v>413.03482413636533</v>
      </c>
      <c r="Q24" s="7">
        <f t="shared" ca="1" si="4"/>
        <v>225.76588351467075</v>
      </c>
      <c r="R24" s="8">
        <f t="shared" ca="1" si="5"/>
        <v>638.80070765103608</v>
      </c>
    </row>
    <row r="25" spans="6:18" x14ac:dyDescent="0.2">
      <c r="F25" s="6">
        <f t="shared" si="6"/>
        <v>22</v>
      </c>
      <c r="G25" s="7"/>
      <c r="H25" s="7" cm="1">
        <f t="array" aca="1" ref="H25:J25" ca="1">MMULT(H24:J24,$B$5:$D$7)</f>
        <v>415.1132560762573</v>
      </c>
      <c r="I25" s="7">
        <f ca="1"/>
        <v>250.97764836111992</v>
      </c>
      <c r="J25" s="7">
        <f ca="1"/>
        <v>333.90909556262312</v>
      </c>
      <c r="K25" s="7"/>
      <c r="L25" s="7">
        <f t="shared" ca="1" si="0"/>
        <v>269.27007565472098</v>
      </c>
      <c r="M25" s="7">
        <f t="shared" ca="1" si="1"/>
        <v>1688.5793362859911</v>
      </c>
      <c r="N25" s="7">
        <f t="shared" ca="1" si="2"/>
        <v>1957.8494119407121</v>
      </c>
      <c r="O25" s="7"/>
      <c r="P25" s="7">
        <f t="shared" ca="1" si="3"/>
        <v>396.09934755536221</v>
      </c>
      <c r="Q25" s="7">
        <f t="shared" ca="1" si="4"/>
        <v>225.85212034982774</v>
      </c>
      <c r="R25" s="8">
        <f t="shared" ca="1" si="5"/>
        <v>621.95146790518993</v>
      </c>
    </row>
    <row r="26" spans="6:18" x14ac:dyDescent="0.2">
      <c r="F26" s="6">
        <f t="shared" si="6"/>
        <v>23</v>
      </c>
      <c r="G26" s="7"/>
      <c r="H26" s="7" cm="1">
        <f t="array" aca="1" ref="H26:J26" ca="1">MMULT(H25:J25,$B$5:$D$7)</f>
        <v>398.09255850809689</v>
      </c>
      <c r="I26" s="7">
        <f ca="1"/>
        <v>250.50810427185181</v>
      </c>
      <c r="J26" s="7">
        <f ca="1"/>
        <v>351.39933722005168</v>
      </c>
      <c r="K26" s="7"/>
      <c r="L26" s="7">
        <f t="shared" ca="1" si="0"/>
        <v>258.22931881357414</v>
      </c>
      <c r="M26" s="7">
        <f t="shared" ca="1" si="1"/>
        <v>1685.4202404390473</v>
      </c>
      <c r="N26" s="7">
        <f t="shared" ca="1" si="2"/>
        <v>1943.6495592526214</v>
      </c>
      <c r="O26" s="7"/>
      <c r="P26" s="7">
        <f t="shared" ca="1" si="3"/>
        <v>379.85826851729126</v>
      </c>
      <c r="Q26" s="7">
        <f t="shared" ca="1" si="4"/>
        <v>225.42958261050546</v>
      </c>
      <c r="R26" s="8">
        <f t="shared" ca="1" si="5"/>
        <v>605.28785112779678</v>
      </c>
    </row>
    <row r="27" spans="6:18" x14ac:dyDescent="0.2">
      <c r="F27" s="6">
        <f t="shared" si="6"/>
        <v>24</v>
      </c>
      <c r="G27" s="7"/>
      <c r="H27" s="7" cm="1">
        <f t="array" aca="1" ref="H27:J27" ca="1">MMULT(H26:J26,$B$5:$D$7)</f>
        <v>381.76975275973797</v>
      </c>
      <c r="I27" s="7">
        <f ca="1"/>
        <v>249.52672782558059</v>
      </c>
      <c r="J27" s="7">
        <f ca="1"/>
        <v>368.70351941468181</v>
      </c>
      <c r="K27" s="7"/>
      <c r="L27" s="7">
        <f t="shared" ca="1" si="0"/>
        <v>247.6412610379619</v>
      </c>
      <c r="M27" s="7">
        <f t="shared" ca="1" si="1"/>
        <v>1678.8175329903465</v>
      </c>
      <c r="N27" s="7">
        <f t="shared" ca="1" si="2"/>
        <v>1926.4587940283084</v>
      </c>
      <c r="O27" s="7"/>
      <c r="P27" s="7">
        <f t="shared" ca="1" si="3"/>
        <v>364.28311495965551</v>
      </c>
      <c r="Q27" s="7">
        <f t="shared" ca="1" si="4"/>
        <v>224.54645236883223</v>
      </c>
      <c r="R27" s="8">
        <f t="shared" ca="1" si="5"/>
        <v>588.82956732848777</v>
      </c>
    </row>
    <row r="28" spans="6:18" x14ac:dyDescent="0.2">
      <c r="F28" s="6">
        <f t="shared" si="6"/>
        <v>25</v>
      </c>
      <c r="G28" s="7"/>
      <c r="H28" s="7" cm="1">
        <f t="array" aca="1" ref="H28:J28" ca="1">MMULT(H27:J27,$B$5:$D$7)</f>
        <v>366.11622349445918</v>
      </c>
      <c r="I28" s="7">
        <f ca="1"/>
        <v>248.08322411760702</v>
      </c>
      <c r="J28" s="7">
        <f ca="1"/>
        <v>385.8005523879342</v>
      </c>
      <c r="K28" s="7"/>
      <c r="L28" s="7">
        <f t="shared" ca="1" si="0"/>
        <v>237.48734051668927</v>
      </c>
      <c r="M28" s="7">
        <f t="shared" ca="1" si="1"/>
        <v>1669.1056301613376</v>
      </c>
      <c r="N28" s="7">
        <f t="shared" ca="1" si="2"/>
        <v>1906.5929706780269</v>
      </c>
      <c r="O28" s="7"/>
      <c r="P28" s="7">
        <f t="shared" ca="1" si="3"/>
        <v>349.34658224681755</v>
      </c>
      <c r="Q28" s="7">
        <f t="shared" ca="1" si="4"/>
        <v>223.24745871219562</v>
      </c>
      <c r="R28" s="8">
        <f t="shared" ca="1" si="5"/>
        <v>572.59404095901323</v>
      </c>
    </row>
    <row r="29" spans="6:18" x14ac:dyDescent="0.2">
      <c r="F29" s="6">
        <f t="shared" si="6"/>
        <v>26</v>
      </c>
      <c r="G29" s="7"/>
      <c r="H29" s="7" cm="1">
        <f t="array" aca="1" ref="H29:J29" ca="1">MMULT(H28:J28,$B$5:$D$7)</f>
        <v>351.10452867700565</v>
      </c>
      <c r="I29" s="7">
        <f ca="1"/>
        <v>246.2237072322765</v>
      </c>
      <c r="J29" s="7">
        <f ca="1"/>
        <v>402.67176409071823</v>
      </c>
      <c r="K29" s="7"/>
      <c r="L29" s="7">
        <f t="shared" ca="1" si="0"/>
        <v>227.74975651995291</v>
      </c>
      <c r="M29" s="7">
        <f t="shared" ca="1" si="1"/>
        <v>1656.5947878271784</v>
      </c>
      <c r="N29" s="7">
        <f t="shared" ca="1" si="2"/>
        <v>1884.3445443471312</v>
      </c>
      <c r="O29" s="7"/>
      <c r="P29" s="7">
        <f t="shared" ca="1" si="3"/>
        <v>335.02248530253388</v>
      </c>
      <c r="Q29" s="7">
        <f t="shared" ca="1" si="4"/>
        <v>221.57409921536137</v>
      </c>
      <c r="R29" s="8">
        <f t="shared" ca="1" si="5"/>
        <v>556.59658451789528</v>
      </c>
    </row>
    <row r="30" spans="6:18" x14ac:dyDescent="0.2">
      <c r="F30" s="6">
        <f t="shared" si="6"/>
        <v>27</v>
      </c>
      <c r="G30" s="7"/>
      <c r="H30" s="7" cm="1">
        <f t="array" aca="1" ref="H30:J30" ca="1">MMULT(H29:J29,$B$5:$D$7)</f>
        <v>336.70835146524973</v>
      </c>
      <c r="I30" s="7">
        <f ca="1"/>
        <v>243.99093146146174</v>
      </c>
      <c r="J30" s="7">
        <f ca="1"/>
        <v>419.30071707328887</v>
      </c>
      <c r="K30" s="7"/>
      <c r="L30" s="7">
        <f t="shared" ca="1" si="0"/>
        <v>218.4114381930716</v>
      </c>
      <c r="M30" s="7">
        <f t="shared" ca="1" si="1"/>
        <v>1641.5726571562709</v>
      </c>
      <c r="N30" s="7">
        <f t="shared" ca="1" si="2"/>
        <v>1859.9840953493426</v>
      </c>
      <c r="O30" s="7"/>
      <c r="P30" s="7">
        <f t="shared" ca="1" si="3"/>
        <v>321.2857127051771</v>
      </c>
      <c r="Q30" s="7">
        <f t="shared" ca="1" si="4"/>
        <v>219.56484801153044</v>
      </c>
      <c r="R30" s="8">
        <f t="shared" ca="1" si="5"/>
        <v>540.85056071670761</v>
      </c>
    </row>
    <row r="31" spans="6:18" x14ac:dyDescent="0.2">
      <c r="F31" s="6">
        <f t="shared" si="6"/>
        <v>28</v>
      </c>
      <c r="G31" s="7"/>
      <c r="H31" s="7" cm="1">
        <f t="array" aca="1" ref="H31:J31" ca="1">MMULT(H30:J30,$B$5:$D$7)</f>
        <v>322.90245407441557</v>
      </c>
      <c r="I31" s="7">
        <f ca="1"/>
        <v>241.42450850135432</v>
      </c>
      <c r="J31" s="7">
        <f ca="1"/>
        <v>435.67303742423042</v>
      </c>
      <c r="K31" s="7"/>
      <c r="L31" s="7">
        <f t="shared" ca="1" si="0"/>
        <v>209.45601462975299</v>
      </c>
      <c r="M31" s="7">
        <f t="shared" ca="1" si="1"/>
        <v>1624.3057459117608</v>
      </c>
      <c r="N31" s="7">
        <f t="shared" ca="1" si="2"/>
        <v>1833.7617605415139</v>
      </c>
      <c r="O31" s="7"/>
      <c r="P31" s="7">
        <f t="shared" ca="1" si="3"/>
        <v>308.11218266517011</v>
      </c>
      <c r="Q31" s="7">
        <f t="shared" ca="1" si="4"/>
        <v>217.25535124542506</v>
      </c>
      <c r="R31" s="8">
        <f t="shared" ca="1" si="5"/>
        <v>525.36753391059517</v>
      </c>
    </row>
    <row r="32" spans="6:18" x14ac:dyDescent="0.2">
      <c r="F32" s="6">
        <f t="shared" si="6"/>
        <v>29</v>
      </c>
      <c r="G32" s="7"/>
      <c r="H32" s="7" cm="1">
        <f t="array" aca="1" ref="H32:J32" ca="1">MMULT(H31:J31,$B$5:$D$7)</f>
        <v>309.66263353298774</v>
      </c>
      <c r="I32" s="7">
        <f ca="1"/>
        <v>238.56111144805476</v>
      </c>
      <c r="J32" s="7">
        <f ca="1"/>
        <v>451.77625501895784</v>
      </c>
      <c r="K32" s="7"/>
      <c r="L32" s="7">
        <f t="shared" ca="1" si="0"/>
        <v>200.8677861724322</v>
      </c>
      <c r="M32" s="7">
        <f t="shared" ca="1" si="1"/>
        <v>1605.0407909352648</v>
      </c>
      <c r="N32" s="7">
        <f t="shared" ca="1" si="2"/>
        <v>1805.9085771076971</v>
      </c>
      <c r="O32" s="7"/>
      <c r="P32" s="7">
        <f t="shared" ca="1" si="3"/>
        <v>295.47880080745784</v>
      </c>
      <c r="Q32" s="7">
        <f t="shared" ca="1" si="4"/>
        <v>214.67861064675373</v>
      </c>
      <c r="R32" s="8">
        <f t="shared" ca="1" si="5"/>
        <v>510.15741145421157</v>
      </c>
    </row>
    <row r="33" spans="6:18" x14ac:dyDescent="0.2">
      <c r="F33" s="6">
        <f t="shared" si="6"/>
        <v>30</v>
      </c>
      <c r="G33" s="7"/>
      <c r="H33" s="7" cm="1">
        <f t="array" aca="1" ref="H33:J33" ca="1">MMULT(H32:J32,$B$5:$D$7)</f>
        <v>296.96567925273985</v>
      </c>
      <c r="I33" s="7">
        <f ca="1"/>
        <v>235.43466636552961</v>
      </c>
      <c r="J33" s="7">
        <f ca="1"/>
        <v>467.59965438173089</v>
      </c>
      <c r="K33" s="7"/>
      <c r="L33" s="7">
        <f t="shared" ca="1" si="0"/>
        <v>192.63169688936961</v>
      </c>
      <c r="M33" s="7">
        <f t="shared" ca="1" si="1"/>
        <v>1584.0060470173967</v>
      </c>
      <c r="N33" s="7">
        <f t="shared" ca="1" si="2"/>
        <v>1776.6377439067662</v>
      </c>
      <c r="O33" s="7"/>
      <c r="P33" s="7">
        <f t="shared" ca="1" si="3"/>
        <v>283.36341968500443</v>
      </c>
      <c r="Q33" s="7">
        <f t="shared" ca="1" si="4"/>
        <v>211.86515592018142</v>
      </c>
      <c r="R33" s="8">
        <f t="shared" ca="1" si="5"/>
        <v>495.22857560518582</v>
      </c>
    </row>
    <row r="34" spans="6:18" x14ac:dyDescent="0.2">
      <c r="F34" s="6">
        <f t="shared" si="6"/>
        <v>31</v>
      </c>
      <c r="G34" s="7"/>
      <c r="H34" s="7" cm="1">
        <f t="array" aca="1" ref="H34:J34" ca="1">MMULT(H33:J33,$B$5:$D$7)</f>
        <v>284.78933233849995</v>
      </c>
      <c r="I34" s="7">
        <f ca="1"/>
        <v>232.07653215522467</v>
      </c>
      <c r="J34" s="7">
        <f ca="1"/>
        <v>483.1341355062757</v>
      </c>
      <c r="K34" s="7"/>
      <c r="L34" s="7">
        <f t="shared" ca="1" si="0"/>
        <v>184.73330818025741</v>
      </c>
      <c r="M34" s="7">
        <f t="shared" ca="1" si="1"/>
        <v>1561.4124970617568</v>
      </c>
      <c r="N34" s="7">
        <f t="shared" ca="1" si="2"/>
        <v>1746.1458052420141</v>
      </c>
      <c r="O34" s="7"/>
      <c r="P34" s="7">
        <f ca="1">H34*$C$11</f>
        <v>271.74479995234003</v>
      </c>
      <c r="Q34" s="7">
        <f ca="1">I34*$C$12</f>
        <v>208.84320660808419</v>
      </c>
      <c r="R34" s="8">
        <f ca="1">SUM(P34:Q34)</f>
        <v>480.58800656042422</v>
      </c>
    </row>
    <row r="35" spans="6:18" x14ac:dyDescent="0.2">
      <c r="F35" s="6">
        <f t="shared" si="6"/>
        <v>32</v>
      </c>
      <c r="G35" s="7"/>
      <c r="H35" s="7" cm="1">
        <f t="array" aca="1" ref="H35:J35" ca="1">MMULT(H34:J34,$B$5:$D$7)</f>
        <v>273.11224656631862</v>
      </c>
      <c r="I35" s="7">
        <f ca="1"/>
        <v>228.51566941483927</v>
      </c>
      <c r="J35" s="7">
        <f ca="1"/>
        <v>498.37208401884243</v>
      </c>
      <c r="K35" s="7"/>
      <c r="L35" s="7">
        <f t="shared" ca="1" si="0"/>
        <v>177.15877346406344</v>
      </c>
      <c r="M35" s="7">
        <f t="shared" ca="1" si="1"/>
        <v>1537.4549881679211</v>
      </c>
      <c r="N35" s="7">
        <f t="shared" ca="1" si="2"/>
        <v>1714.6137616319845</v>
      </c>
      <c r="O35" s="7"/>
      <c r="P35" s="7">
        <f t="shared" ref="P35:P43" ca="1" si="7">H35*$C$11</f>
        <v>260.60257313109071</v>
      </c>
      <c r="Q35" s="7">
        <f t="shared" ref="Q35:Q43" ca="1" si="8">I35*$C$12</f>
        <v>205.63882404476695</v>
      </c>
      <c r="R35" s="8">
        <f t="shared" ref="R35:R43" ca="1" si="9">SUM(P35:Q35)</f>
        <v>466.24139717585763</v>
      </c>
    </row>
    <row r="36" spans="6:18" x14ac:dyDescent="0.2">
      <c r="F36" s="6">
        <f t="shared" si="6"/>
        <v>33</v>
      </c>
      <c r="G36" s="7"/>
      <c r="H36" s="7" cm="1">
        <f t="array" aca="1" ref="H36:J36" ca="1">MMULT(H35:J35,$B$5:$D$7)</f>
        <v>261.91395096163137</v>
      </c>
      <c r="I36" s="7">
        <f ca="1"/>
        <v>224.77879893433735</v>
      </c>
      <c r="J36" s="7">
        <f ca="1"/>
        <v>513.3072501040316</v>
      </c>
      <c r="K36" s="7"/>
      <c r="L36" s="7">
        <f t="shared" ca="1" si="0"/>
        <v>169.89481390473745</v>
      </c>
      <c r="M36" s="7">
        <f t="shared" ca="1" si="1"/>
        <v>1512.3132979936888</v>
      </c>
      <c r="N36" s="7">
        <f t="shared" ca="1" si="2"/>
        <v>1682.2081118984263</v>
      </c>
      <c r="O36" s="7"/>
      <c r="P36" s="7">
        <f t="shared" ca="1" si="7"/>
        <v>249.91720590221601</v>
      </c>
      <c r="Q36" s="7">
        <f t="shared" ca="1" si="8"/>
        <v>202.27605398534047</v>
      </c>
      <c r="R36" s="8">
        <f t="shared" ca="1" si="9"/>
        <v>452.19325988755645</v>
      </c>
    </row>
    <row r="37" spans="6:18" x14ac:dyDescent="0.2">
      <c r="F37" s="6">
        <f t="shared" si="6"/>
        <v>34</v>
      </c>
      <c r="G37" s="7"/>
      <c r="H37" s="7" cm="1">
        <f t="array" aca="1" ref="H37:J37" ca="1">MMULT(H36:J36,$B$5:$D$7)</f>
        <v>251.17481391181144</v>
      </c>
      <c r="I37" s="7">
        <f ca="1"/>
        <v>220.89055044006764</v>
      </c>
      <c r="J37" s="7">
        <f ca="1"/>
        <v>527.93463564812123</v>
      </c>
      <c r="K37" s="7"/>
      <c r="L37" s="7">
        <f t="shared" ca="1" si="0"/>
        <v>162.92869513222539</v>
      </c>
      <c r="M37" s="7">
        <f t="shared" ca="1" si="1"/>
        <v>1486.153135506542</v>
      </c>
      <c r="N37" s="7">
        <f t="shared" ca="1" si="2"/>
        <v>1649.0818306387673</v>
      </c>
      <c r="O37" s="7"/>
      <c r="P37" s="7">
        <f t="shared" ca="1" si="7"/>
        <v>239.66996586235601</v>
      </c>
      <c r="Q37" s="7">
        <f t="shared" ca="1" si="8"/>
        <v>198.7770604589756</v>
      </c>
      <c r="R37" s="8">
        <f t="shared" ca="1" si="9"/>
        <v>438.44702632133158</v>
      </c>
    </row>
    <row r="38" spans="6:18" x14ac:dyDescent="0.2">
      <c r="F38" s="6">
        <f t="shared" si="6"/>
        <v>35</v>
      </c>
      <c r="G38" s="7"/>
      <c r="H38" s="7" cm="1">
        <f t="array" aca="1" ref="H38:J38" ca="1">MMULT(H37:J37,$B$5:$D$7)</f>
        <v>240.87600875019899</v>
      </c>
      <c r="I38" s="7">
        <f ca="1"/>
        <v>216.87360216276085</v>
      </c>
      <c r="J38" s="7">
        <f ca="1"/>
        <v>542.2503890870405</v>
      </c>
      <c r="K38" s="7"/>
      <c r="L38" s="7">
        <f t="shared" ca="1" si="0"/>
        <v>156.24820491798084</v>
      </c>
      <c r="M38" s="7">
        <f t="shared" ca="1" si="1"/>
        <v>1459.1270799980839</v>
      </c>
      <c r="N38" s="7">
        <f t="shared" ca="1" si="2"/>
        <v>1615.3752849160646</v>
      </c>
      <c r="O38" s="7"/>
      <c r="P38" s="7">
        <f t="shared" ca="1" si="7"/>
        <v>229.84288868425426</v>
      </c>
      <c r="Q38" s="7">
        <f t="shared" ca="1" si="8"/>
        <v>195.16225136466156</v>
      </c>
      <c r="R38" s="8">
        <f t="shared" ca="1" si="9"/>
        <v>425.00514004891579</v>
      </c>
    </row>
    <row r="39" spans="6:18" x14ac:dyDescent="0.2">
      <c r="F39" s="6">
        <f t="shared" si="6"/>
        <v>36</v>
      </c>
      <c r="G39" s="7"/>
      <c r="H39" s="7" cm="1">
        <f t="array" aca="1" ref="H39:J39" ca="1">MMULT(H38:J38,$B$5:$D$7)</f>
        <v>230.9994807512725</v>
      </c>
      <c r="I39" s="7">
        <f ca="1"/>
        <v>212.74881177205108</v>
      </c>
      <c r="J39" s="7">
        <f ca="1"/>
        <v>556.25170747667676</v>
      </c>
      <c r="K39" s="7"/>
      <c r="L39" s="7">
        <f t="shared" ca="1" si="0"/>
        <v>149.84163176583763</v>
      </c>
      <c r="M39" s="7">
        <f t="shared" ca="1" si="1"/>
        <v>1431.3754620123984</v>
      </c>
      <c r="N39" s="7">
        <f t="shared" ca="1" si="2"/>
        <v>1581.2170937782362</v>
      </c>
      <c r="O39" s="7"/>
      <c r="P39" s="7">
        <f t="shared" ca="1" si="7"/>
        <v>220.41874662368755</v>
      </c>
      <c r="Q39" s="7">
        <f t="shared" ca="1" si="8"/>
        <v>191.45039629779134</v>
      </c>
      <c r="R39" s="8">
        <f t="shared" ca="1" si="9"/>
        <v>411.8691429214789</v>
      </c>
    </row>
    <row r="40" spans="6:18" x14ac:dyDescent="0.2">
      <c r="F40" s="6">
        <f t="shared" si="6"/>
        <v>37</v>
      </c>
      <c r="G40" s="7"/>
      <c r="H40" s="7" cm="1">
        <f t="array" aca="1" ref="H40:J40" ca="1">MMULT(H39:J39,$B$5:$D$7)</f>
        <v>221.52791547910201</v>
      </c>
      <c r="I40" s="7">
        <f ca="1"/>
        <v>208.535339188921</v>
      </c>
      <c r="J40" s="7">
        <f ca="1"/>
        <v>569.93674533197736</v>
      </c>
      <c r="K40" s="7"/>
      <c r="L40" s="7">
        <f t="shared" ca="1" si="0"/>
        <v>143.69774438071047</v>
      </c>
      <c r="M40" s="7">
        <f t="shared" ca="1" si="1"/>
        <v>1403.0271896290192</v>
      </c>
      <c r="N40" s="7">
        <f t="shared" ca="1" si="2"/>
        <v>1546.7249340097296</v>
      </c>
      <c r="O40" s="7"/>
      <c r="P40" s="7">
        <f t="shared" ca="1" si="7"/>
        <v>211.38101831769109</v>
      </c>
      <c r="Q40" s="7">
        <f t="shared" ca="1" si="8"/>
        <v>187.65873706777677</v>
      </c>
      <c r="R40" s="8">
        <f t="shared" ca="1" si="9"/>
        <v>399.03975538546786</v>
      </c>
    </row>
    <row r="41" spans="6:18" x14ac:dyDescent="0.2">
      <c r="F41" s="6">
        <f t="shared" si="6"/>
        <v>38</v>
      </c>
      <c r="G41" s="7"/>
      <c r="H41" s="7" cm="1">
        <f t="array" aca="1" ref="H41:J41" ca="1">MMULT(H40:J40,$B$5:$D$7)</f>
        <v>212.44470843359602</v>
      </c>
      <c r="I41" s="7">
        <f ca="1"/>
        <v>204.25076175798898</v>
      </c>
      <c r="J41" s="7">
        <f ca="1"/>
        <v>583.3045298084154</v>
      </c>
      <c r="K41" s="7"/>
      <c r="L41" s="7">
        <f t="shared" ca="1" si="0"/>
        <v>137.80577197913149</v>
      </c>
      <c r="M41" s="7">
        <f t="shared" ca="1" si="1"/>
        <v>1374.2005233428674</v>
      </c>
      <c r="N41" s="7">
        <f t="shared" ca="1" si="2"/>
        <v>1512.006295321999</v>
      </c>
      <c r="O41" s="7"/>
      <c r="P41" s="7">
        <f t="shared" ca="1" si="7"/>
        <v>202.71385982113307</v>
      </c>
      <c r="Q41" s="7">
        <f t="shared" ca="1" si="8"/>
        <v>183.80309134036654</v>
      </c>
      <c r="R41" s="8">
        <f t="shared" ca="1" si="9"/>
        <v>386.51695116149961</v>
      </c>
    </row>
    <row r="42" spans="6:18" x14ac:dyDescent="0.2">
      <c r="F42" s="6">
        <f t="shared" si="6"/>
        <v>39</v>
      </c>
      <c r="G42" s="7"/>
      <c r="H42" s="7" cm="1">
        <f t="array" aca="1" ref="H42:J42" ca="1">MMULT(H41:J41,$B$5:$D$7)</f>
        <v>203.73393594132949</v>
      </c>
      <c r="I42" s="7">
        <f ca="1"/>
        <v>199.91118223374613</v>
      </c>
      <c r="J42" s="7">
        <f ca="1"/>
        <v>596.35488182492475</v>
      </c>
      <c r="K42" s="7"/>
      <c r="L42" s="7">
        <f t="shared" ca="1" si="0"/>
        <v>132.15538540710455</v>
      </c>
      <c r="M42" s="7">
        <f t="shared" ca="1" si="1"/>
        <v>1345.0038025963938</v>
      </c>
      <c r="N42" s="7">
        <f t="shared" ca="1" si="2"/>
        <v>1477.1591880034985</v>
      </c>
      <c r="O42" s="7"/>
      <c r="P42" s="7">
        <f t="shared" ca="1" si="7"/>
        <v>194.40207683086371</v>
      </c>
      <c r="Q42" s="7">
        <f t="shared" ca="1" si="8"/>
        <v>179.89794981331423</v>
      </c>
      <c r="R42" s="8">
        <f t="shared" ca="1" si="9"/>
        <v>374.30002664417793</v>
      </c>
    </row>
    <row r="43" spans="6:18" ht="17" thickBot="1" x14ac:dyDescent="0.25">
      <c r="F43" s="9">
        <f t="shared" si="6"/>
        <v>40</v>
      </c>
      <c r="G43" s="10"/>
      <c r="H43" s="10" cm="1">
        <f t="array" aca="1" ref="H43:J43" ca="1">MMULT(H42:J42,$B$5:$D$7)</f>
        <v>195.38032723992171</v>
      </c>
      <c r="I43" s="10">
        <f ca="1"/>
        <v>195.53133000861459</v>
      </c>
      <c r="J43" s="10">
        <f ca="1"/>
        <v>609.0883427514641</v>
      </c>
      <c r="K43" s="10"/>
      <c r="L43" s="10">
        <f t="shared" ca="1" si="0"/>
        <v>126.7366790321754</v>
      </c>
      <c r="M43" s="10">
        <f t="shared" ca="1" si="1"/>
        <v>1315.536126842647</v>
      </c>
      <c r="N43" s="10">
        <f t="shared" ca="1" si="2"/>
        <v>1442.2728058748226</v>
      </c>
      <c r="O43" s="10"/>
      <c r="P43" s="10">
        <f t="shared" ca="1" si="7"/>
        <v>186.43109804874413</v>
      </c>
      <c r="Q43" s="10">
        <f t="shared" ca="1" si="8"/>
        <v>175.95656731043269</v>
      </c>
      <c r="R43" s="11">
        <f t="shared" ca="1" si="9"/>
        <v>362.38766535917682</v>
      </c>
    </row>
    <row r="44" spans="6:18" x14ac:dyDescent="0.2">
      <c r="F44" s="3"/>
    </row>
    <row r="45" spans="6:18" x14ac:dyDescent="0.2">
      <c r="L45" s="39">
        <f ca="1">SUM(L1:L43)/$H$4</f>
        <v>12.855944708829735</v>
      </c>
      <c r="M45" s="39">
        <f ca="1">SUM(M1:M43)/$H$4</f>
        <v>54.05030069544334</v>
      </c>
      <c r="N45" s="39">
        <f ca="1">SUM(N1:N43)/$H$4</f>
        <v>66.906245404273051</v>
      </c>
      <c r="O45" s="39"/>
      <c r="P45" s="7">
        <f ca="1">SUM(P1:P43)/H4</f>
        <v>18.911241061576117</v>
      </c>
      <c r="Q45" s="7">
        <f ca="1">SUM(Q1:Q43)/H4</f>
        <v>7.2293760531628974</v>
      </c>
      <c r="R45" s="7">
        <f ca="1">SUM(R1:R43)/H4</f>
        <v>26.140617114739022</v>
      </c>
    </row>
    <row r="46" spans="6:18" x14ac:dyDescent="0.2">
      <c r="N46" s="40" t="s">
        <v>14</v>
      </c>
      <c r="O46" s="40"/>
      <c r="Q46" s="40" t="s">
        <v>15</v>
      </c>
      <c r="R46" s="40"/>
    </row>
  </sheetData>
  <hyperlinks>
    <hyperlink ref="C2" r:id="rId1" xr:uid="{CD092C98-2751-5448-8DAD-368F584BE2D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D9E4-A9D4-E741-B191-FDD451E59658}">
  <sheetPr codeName="Sheet8"/>
  <dimension ref="A1:G14"/>
  <sheetViews>
    <sheetView showGridLines="0" workbookViewId="0">
      <selection activeCell="G8" sqref="G8"/>
    </sheetView>
  </sheetViews>
  <sheetFormatPr baseColWidth="10" defaultRowHeight="16" x14ac:dyDescent="0.2"/>
  <cols>
    <col min="1" max="1" width="17.1640625" bestFit="1" customWidth="1"/>
    <col min="2" max="2" width="15.6640625" customWidth="1"/>
    <col min="3" max="3" width="37.33203125" bestFit="1" customWidth="1"/>
    <col min="4" max="4" width="15.5" customWidth="1"/>
    <col min="5" max="5" width="16.33203125" customWidth="1"/>
    <col min="6" max="6" width="14.83203125" customWidth="1"/>
  </cols>
  <sheetData>
    <row r="1" spans="1:7" x14ac:dyDescent="0.2">
      <c r="A1" s="42" t="s">
        <v>68</v>
      </c>
      <c r="B1" s="42"/>
      <c r="C1" s="42"/>
      <c r="D1" s="41"/>
      <c r="E1" s="93"/>
      <c r="F1" s="93"/>
    </row>
    <row r="2" spans="1:7" ht="17" thickBot="1" x14ac:dyDescent="0.25">
      <c r="A2" s="42" t="s">
        <v>17</v>
      </c>
      <c r="B2" s="42" t="s">
        <v>29</v>
      </c>
      <c r="C2" s="64" t="s">
        <v>28</v>
      </c>
      <c r="D2" s="42"/>
      <c r="E2" s="94"/>
      <c r="F2" s="94"/>
    </row>
    <row r="3" spans="1:7" x14ac:dyDescent="0.2">
      <c r="A3" s="73" t="s">
        <v>58</v>
      </c>
      <c r="B3" s="62" t="s">
        <v>57</v>
      </c>
      <c r="C3" s="62" t="s">
        <v>59</v>
      </c>
      <c r="D3" s="62" t="s">
        <v>60</v>
      </c>
      <c r="E3" s="62" t="s">
        <v>61</v>
      </c>
      <c r="F3" s="66" t="s">
        <v>62</v>
      </c>
      <c r="G3" s="93"/>
    </row>
    <row r="4" spans="1:7" x14ac:dyDescent="0.2">
      <c r="A4" s="95"/>
      <c r="B4" s="99"/>
      <c r="C4" s="99"/>
      <c r="D4" s="99"/>
      <c r="E4" s="99"/>
      <c r="F4" s="101"/>
    </row>
    <row r="5" spans="1:7" x14ac:dyDescent="0.2">
      <c r="A5" s="95" t="s">
        <v>63</v>
      </c>
      <c r="B5" s="99" cm="1">
        <f t="array" aca="1" ref="B5" ca="1">IF(PSA,F5,E5)</f>
        <v>3.1562935493747446E-2</v>
      </c>
      <c r="C5" s="99" t="s">
        <v>78</v>
      </c>
      <c r="D5" s="99"/>
      <c r="E5" s="99">
        <v>0.03</v>
      </c>
      <c r="F5" s="104">
        <f ca="1">_xlfn.BETA.INV(RAND(),3,97)</f>
        <v>3.1562935493747446E-2</v>
      </c>
    </row>
    <row r="6" spans="1:7" x14ac:dyDescent="0.2">
      <c r="A6" s="95" t="s">
        <v>64</v>
      </c>
      <c r="B6" s="99" cm="1">
        <f t="array" aca="1" ref="B6" ca="1">IF(PSA,F6,E6)</f>
        <v>9.4396037386630383E-3</v>
      </c>
      <c r="C6" s="99" t="s">
        <v>79</v>
      </c>
      <c r="D6" s="99"/>
      <c r="E6" s="99">
        <v>0.01</v>
      </c>
      <c r="F6" s="104">
        <f ca="1">_xlfn.BETA.INV(RAND(),1,99)</f>
        <v>9.4396037386630383E-3</v>
      </c>
    </row>
    <row r="7" spans="1:7" x14ac:dyDescent="0.2">
      <c r="A7" s="95" t="s">
        <v>65</v>
      </c>
      <c r="B7" s="99" cm="1">
        <f t="array" aca="1" ref="B7" ca="1">IF(PSA,F7,E7)</f>
        <v>5.4075480832758371E-2</v>
      </c>
      <c r="C7" s="99" t="s">
        <v>80</v>
      </c>
      <c r="D7" s="99"/>
      <c r="E7" s="99">
        <v>0.05</v>
      </c>
      <c r="F7" s="104">
        <f ca="1">_xlfn.BETA.INV(RAND(),5,95)</f>
        <v>5.4075480832758371E-2</v>
      </c>
    </row>
    <row r="8" spans="1:7" x14ac:dyDescent="0.2">
      <c r="A8" s="95"/>
      <c r="B8" s="99"/>
      <c r="C8" s="99"/>
      <c r="D8" s="99"/>
      <c r="E8" s="99"/>
      <c r="F8" s="101"/>
    </row>
    <row r="9" spans="1:7" x14ac:dyDescent="0.2">
      <c r="A9" s="95" t="s">
        <v>69</v>
      </c>
      <c r="B9" s="99" cm="1">
        <f t="array" aca="1" ref="B9" ca="1">IF(PSA,F9,E9)</f>
        <v>0.64866653067146429</v>
      </c>
      <c r="C9" s="99" t="s">
        <v>76</v>
      </c>
      <c r="D9" s="99"/>
      <c r="E9" s="99">
        <v>50</v>
      </c>
      <c r="F9" s="101">
        <f ca="1">_xlfn.GAMMA.INV(RAND(),(1/0.2)^2,E9/((1/0.02)^2))</f>
        <v>0.64866653067146429</v>
      </c>
    </row>
    <row r="10" spans="1:7" x14ac:dyDescent="0.2">
      <c r="A10" s="95" t="s">
        <v>70</v>
      </c>
      <c r="B10" s="99" cm="1">
        <f t="array" aca="1" ref="B10" ca="1">IF(PSA,F10,E10)</f>
        <v>6.7280068456788387</v>
      </c>
      <c r="C10" s="99" t="s">
        <v>77</v>
      </c>
      <c r="D10" s="99"/>
      <c r="E10" s="99">
        <v>1000</v>
      </c>
      <c r="F10" s="101">
        <f ca="1">_xlfn.GAMMA.INV(RAND(),(1/0.2)^2,E10/((1/0.02)^2))</f>
        <v>6.7280068456788387</v>
      </c>
    </row>
    <row r="11" spans="1:7" x14ac:dyDescent="0.2">
      <c r="A11" s="95"/>
      <c r="B11" s="99"/>
      <c r="C11" s="99"/>
      <c r="D11" s="99"/>
      <c r="E11" s="99"/>
      <c r="F11" s="101"/>
    </row>
    <row r="12" spans="1:7" x14ac:dyDescent="0.2">
      <c r="A12" s="95" t="s">
        <v>72</v>
      </c>
      <c r="B12" s="99" cm="1">
        <f t="array" aca="1" ref="B12" ca="1">IF(PSA,F12,E12)</f>
        <v>0.95419585319770617</v>
      </c>
      <c r="C12" s="99" t="s">
        <v>74</v>
      </c>
      <c r="D12" s="99"/>
      <c r="E12" s="99">
        <v>0.9</v>
      </c>
      <c r="F12" s="101">
        <f ca="1">_xlfn.BETA.INV(RAND(),90,10)</f>
        <v>0.95419585319770617</v>
      </c>
    </row>
    <row r="13" spans="1:7" x14ac:dyDescent="0.2">
      <c r="A13" s="95" t="s">
        <v>73</v>
      </c>
      <c r="B13" s="99" cm="1">
        <f t="array" aca="1" ref="B13" ca="1">IF(PSA,F13,E13)</f>
        <v>0.89988937988955797</v>
      </c>
      <c r="C13" s="99" t="s">
        <v>75</v>
      </c>
      <c r="D13" s="99"/>
      <c r="E13" s="99">
        <v>0.6</v>
      </c>
      <c r="F13" s="101">
        <f ca="1">_xlfn.BETA.INV(RAND(),90,10)</f>
        <v>0.89988937988955797</v>
      </c>
    </row>
    <row r="14" spans="1:7" ht="17" thickBot="1" x14ac:dyDescent="0.25">
      <c r="A14" s="98"/>
      <c r="B14" s="102"/>
      <c r="C14" s="102"/>
      <c r="D14" s="102"/>
      <c r="E14" s="102"/>
      <c r="F14" s="103"/>
    </row>
  </sheetData>
  <hyperlinks>
    <hyperlink ref="C2" r:id="rId1" xr:uid="{45A848DD-C155-EE42-A7F1-EA60F9D3E72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E3CD-A44E-644D-A9B9-1CEF3079D612}">
  <sheetPr codeName="Sheet9"/>
  <dimension ref="A1:C4"/>
  <sheetViews>
    <sheetView showGridLines="0" workbookViewId="0">
      <selection activeCell="I18" sqref="I18"/>
    </sheetView>
  </sheetViews>
  <sheetFormatPr baseColWidth="10" defaultRowHeight="16" x14ac:dyDescent="0.2"/>
  <sheetData>
    <row r="1" spans="1:3" x14ac:dyDescent="0.2">
      <c r="A1" s="42" t="s">
        <v>71</v>
      </c>
      <c r="B1" s="42"/>
      <c r="C1" s="41"/>
    </row>
    <row r="2" spans="1:3" x14ac:dyDescent="0.2">
      <c r="A2" s="42" t="s">
        <v>29</v>
      </c>
      <c r="B2" s="64" t="s">
        <v>28</v>
      </c>
      <c r="C2" s="42"/>
    </row>
    <row r="3" spans="1:3" ht="17" thickBot="1" x14ac:dyDescent="0.25"/>
    <row r="4" spans="1:3" ht="17" thickBot="1" x14ac:dyDescent="0.25">
      <c r="A4" s="105" t="s">
        <v>66</v>
      </c>
      <c r="B4" s="106">
        <v>1</v>
      </c>
    </row>
  </sheetData>
  <hyperlinks>
    <hyperlink ref="B2" r:id="rId1" xr:uid="{03259E03-C935-4B4C-8FCA-EB4FC448FE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Illness-Death Model </vt:lpstr>
      <vt:lpstr>Discounting</vt:lpstr>
      <vt:lpstr>Life table</vt:lpstr>
      <vt:lpstr>Time-varying probs+payoffs</vt:lpstr>
      <vt:lpstr>Tunnel States</vt:lpstr>
      <vt:lpstr>PSA Results</vt:lpstr>
      <vt:lpstr>PSA Formatted</vt:lpstr>
      <vt:lpstr>PSA Parameters</vt:lpstr>
      <vt:lpstr>Control</vt:lpstr>
      <vt:lpstr>c_diseased</vt:lpstr>
      <vt:lpstr>c_healthy</vt:lpstr>
      <vt:lpstr>p_diseased_dead</vt:lpstr>
      <vt:lpstr>p_healthy_dead</vt:lpstr>
      <vt:lpstr>p_healthy_diseased</vt:lpstr>
      <vt:lpstr>PSA</vt:lpstr>
      <vt:lpstr>u_diseased</vt:lpstr>
      <vt:lpstr>u_healty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Butters, James</dc:creator>
  <cp:lastModifiedBy>Butters, James</cp:lastModifiedBy>
  <dcterms:created xsi:type="dcterms:W3CDTF">2026-05-13T17:13:49Z</dcterms:created>
  <dcterms:modified xsi:type="dcterms:W3CDTF">2026-05-14T15:08:44Z</dcterms:modified>
</cp:coreProperties>
</file>